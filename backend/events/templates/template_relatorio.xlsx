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Igor\Desktop\codigos\"/>
    </mc:Choice>
  </mc:AlternateContent>
  <xr:revisionPtr revIDLastSave="0" documentId="13_ncr:1_{0A6FFBB6-C4B1-4C65-B9F3-F790A95AC0D0}" xr6:coauthVersionLast="47" xr6:coauthVersionMax="47" xr10:uidLastSave="{00000000-0000-0000-0000-000000000000}"/>
  <bookViews>
    <workbookView xWindow="3495" yWindow="3495" windowWidth="21600" windowHeight="11385" activeTab="2" xr2:uid="{00000000-000D-0000-FFFF-FFFF00000000}"/>
  </bookViews>
  <sheets>
    <sheet name="Dados Gerais" sheetId="4" r:id="rId1"/>
    <sheet name="Passagens" sheetId="5" r:id="rId2"/>
    <sheet name="Hospedagem" sheetId="15" r:id="rId3"/>
    <sheet name="Sala de Reuniões" sheetId="13" r:id="rId4"/>
    <sheet name="Diárias" sheetId="14" r:id="rId5"/>
    <sheet name="Translado" sheetId="10" r:id="rId6"/>
    <sheet name="Custo Total" sheetId="12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4" i="15" l="1"/>
  <c r="G25" i="15"/>
  <c r="I25" i="15" s="1"/>
  <c r="F24" i="15"/>
  <c r="F25" i="15"/>
  <c r="C24" i="15"/>
  <c r="C25" i="15"/>
  <c r="D24" i="15"/>
  <c r="D25" i="15"/>
  <c r="B24" i="15"/>
  <c r="B25" i="15"/>
  <c r="H11" i="14"/>
  <c r="H12" i="14"/>
  <c r="H13" i="14"/>
  <c r="H14" i="14"/>
  <c r="H15" i="14"/>
  <c r="H16" i="14"/>
  <c r="H17" i="14"/>
  <c r="H18" i="14"/>
  <c r="H19" i="14"/>
  <c r="H20" i="14"/>
  <c r="H21" i="14"/>
  <c r="H22" i="14"/>
  <c r="H23" i="14"/>
  <c r="H24" i="14"/>
  <c r="H25" i="14"/>
  <c r="H26" i="14"/>
  <c r="H27" i="14"/>
  <c r="H28" i="14"/>
  <c r="H29" i="14"/>
  <c r="H30" i="14"/>
  <c r="H31" i="14"/>
  <c r="H32" i="14"/>
  <c r="H33" i="14"/>
  <c r="H34" i="14"/>
  <c r="H35" i="14"/>
  <c r="H36" i="14"/>
  <c r="H37" i="14"/>
  <c r="H38" i="14"/>
  <c r="H39" i="14"/>
  <c r="H40" i="14"/>
  <c r="H41" i="14"/>
  <c r="H42" i="14"/>
  <c r="H43" i="14"/>
  <c r="H44" i="14"/>
  <c r="H45" i="14"/>
  <c r="H46" i="14"/>
  <c r="H47" i="14"/>
  <c r="H48" i="14"/>
  <c r="H49" i="14"/>
  <c r="H50" i="14"/>
  <c r="H51" i="14"/>
  <c r="H52" i="14"/>
  <c r="H53" i="14"/>
  <c r="H54" i="14"/>
  <c r="H55" i="14"/>
  <c r="H56" i="14"/>
  <c r="H57" i="14"/>
  <c r="H58" i="14"/>
  <c r="H59" i="14"/>
  <c r="F11" i="14"/>
  <c r="F12" i="14"/>
  <c r="F13" i="14"/>
  <c r="F14" i="14"/>
  <c r="F15" i="14"/>
  <c r="F16" i="14"/>
  <c r="F17" i="14"/>
  <c r="F18" i="14"/>
  <c r="F19" i="14"/>
  <c r="F20" i="14"/>
  <c r="F21" i="14"/>
  <c r="F22" i="14"/>
  <c r="F23" i="14"/>
  <c r="F24" i="14"/>
  <c r="F25" i="14"/>
  <c r="F26" i="14"/>
  <c r="F27" i="14"/>
  <c r="F28" i="14"/>
  <c r="F29" i="14"/>
  <c r="F30" i="14"/>
  <c r="F31" i="14"/>
  <c r="F32" i="14"/>
  <c r="F33" i="14"/>
  <c r="F34" i="14"/>
  <c r="F35" i="14"/>
  <c r="F36" i="14"/>
  <c r="F37" i="14"/>
  <c r="F38" i="14"/>
  <c r="F39" i="14"/>
  <c r="F40" i="14"/>
  <c r="F41" i="14"/>
  <c r="F42" i="14"/>
  <c r="F43" i="14"/>
  <c r="F44" i="14"/>
  <c r="F45" i="14"/>
  <c r="F46" i="14"/>
  <c r="F47" i="14"/>
  <c r="F48" i="14"/>
  <c r="F49" i="14"/>
  <c r="F50" i="14"/>
  <c r="F51" i="14"/>
  <c r="F52" i="14"/>
  <c r="F53" i="14"/>
  <c r="F54" i="14"/>
  <c r="F55" i="14"/>
  <c r="F56" i="14"/>
  <c r="F57" i="14"/>
  <c r="F58" i="14"/>
  <c r="F59" i="14"/>
  <c r="I24" i="15"/>
  <c r="G12" i="15"/>
  <c r="J25" i="15" l="1"/>
  <c r="M25" i="15" s="1"/>
  <c r="J24" i="15"/>
  <c r="M24" i="15" s="1"/>
  <c r="N57" i="5"/>
  <c r="M2" i="5" s="1"/>
  <c r="H10" i="14"/>
  <c r="F10" i="14"/>
  <c r="F7" i="15"/>
  <c r="G9" i="15"/>
  <c r="C3" i="12"/>
  <c r="C2" i="12"/>
  <c r="C1" i="12"/>
  <c r="D58" i="10"/>
  <c r="E12" i="12" s="1"/>
  <c r="C9" i="10"/>
  <c r="C10" i="10"/>
  <c r="C11" i="10"/>
  <c r="C12" i="10"/>
  <c r="C13" i="10"/>
  <c r="C14" i="10"/>
  <c r="C15" i="10"/>
  <c r="C16" i="10"/>
  <c r="C17" i="10"/>
  <c r="C18" i="10"/>
  <c r="C19" i="10"/>
  <c r="C20" i="10"/>
  <c r="C21" i="10"/>
  <c r="C22" i="10"/>
  <c r="C23" i="10"/>
  <c r="C24" i="10"/>
  <c r="C25" i="10"/>
  <c r="C26" i="10"/>
  <c r="C27" i="10"/>
  <c r="C28" i="10"/>
  <c r="C29" i="10"/>
  <c r="C30" i="10"/>
  <c r="C31" i="10"/>
  <c r="C32" i="10"/>
  <c r="C33" i="10"/>
  <c r="C34" i="10"/>
  <c r="C35" i="10"/>
  <c r="C36" i="10"/>
  <c r="C37" i="10"/>
  <c r="C38" i="10"/>
  <c r="C39" i="10"/>
  <c r="C40" i="10"/>
  <c r="C41" i="10"/>
  <c r="C42" i="10"/>
  <c r="C43" i="10"/>
  <c r="C44" i="10"/>
  <c r="C45" i="10"/>
  <c r="C46" i="10"/>
  <c r="C47" i="10"/>
  <c r="C48" i="10"/>
  <c r="C49" i="10"/>
  <c r="C50" i="10"/>
  <c r="C51" i="10"/>
  <c r="C52" i="10"/>
  <c r="C53" i="10"/>
  <c r="C54" i="10"/>
  <c r="C55" i="10"/>
  <c r="C56" i="10"/>
  <c r="C57" i="10"/>
  <c r="C8" i="10"/>
  <c r="B35" i="10"/>
  <c r="B36" i="10"/>
  <c r="B37" i="10"/>
  <c r="B38" i="10"/>
  <c r="B39" i="10"/>
  <c r="B40" i="10"/>
  <c r="B41" i="10"/>
  <c r="B42" i="10"/>
  <c r="B43" i="10"/>
  <c r="B44" i="10"/>
  <c r="B45" i="10"/>
  <c r="B46" i="10"/>
  <c r="B47" i="10"/>
  <c r="B48" i="10"/>
  <c r="B49" i="10"/>
  <c r="B50" i="10"/>
  <c r="B51" i="10"/>
  <c r="B52" i="10"/>
  <c r="B53" i="10"/>
  <c r="B54" i="10"/>
  <c r="B55" i="10"/>
  <c r="B56" i="10"/>
  <c r="B57" i="10"/>
  <c r="B9" i="10"/>
  <c r="B10" i="10"/>
  <c r="B11" i="10"/>
  <c r="B12" i="10"/>
  <c r="B13" i="10"/>
  <c r="B14" i="10"/>
  <c r="B15" i="10"/>
  <c r="B16" i="10"/>
  <c r="B17" i="10"/>
  <c r="B18" i="10"/>
  <c r="B19" i="10"/>
  <c r="B20" i="10"/>
  <c r="B21" i="10"/>
  <c r="B22" i="10"/>
  <c r="B23" i="10"/>
  <c r="B24" i="10"/>
  <c r="B25" i="10"/>
  <c r="B26" i="10"/>
  <c r="B27" i="10"/>
  <c r="B28" i="10"/>
  <c r="B29" i="10"/>
  <c r="B30" i="10"/>
  <c r="B31" i="10"/>
  <c r="B32" i="10"/>
  <c r="B33" i="10"/>
  <c r="B34" i="10"/>
  <c r="B8" i="10"/>
  <c r="C3" i="10"/>
  <c r="C2" i="10"/>
  <c r="C1" i="10"/>
  <c r="K18" i="14"/>
  <c r="K12" i="14"/>
  <c r="K11" i="14"/>
  <c r="K13" i="14"/>
  <c r="K14" i="14"/>
  <c r="K15" i="14"/>
  <c r="K16" i="14"/>
  <c r="K17" i="14"/>
  <c r="K19" i="14"/>
  <c r="K20" i="14"/>
  <c r="K21" i="14"/>
  <c r="K22" i="14"/>
  <c r="K23" i="14"/>
  <c r="K24" i="14"/>
  <c r="K25" i="14"/>
  <c r="K26" i="14"/>
  <c r="K27" i="14"/>
  <c r="K28" i="14"/>
  <c r="K29" i="14"/>
  <c r="K30" i="14"/>
  <c r="K31" i="14"/>
  <c r="K32" i="14"/>
  <c r="K33" i="14"/>
  <c r="K34" i="14"/>
  <c r="K35" i="14"/>
  <c r="K36" i="14"/>
  <c r="K37" i="14"/>
  <c r="K38" i="14"/>
  <c r="K39" i="14"/>
  <c r="K40" i="14"/>
  <c r="K41" i="14"/>
  <c r="K42" i="14"/>
  <c r="K43" i="14"/>
  <c r="K44" i="14"/>
  <c r="K45" i="14"/>
  <c r="K46" i="14"/>
  <c r="K47" i="14"/>
  <c r="K48" i="14"/>
  <c r="K49" i="14"/>
  <c r="K50" i="14"/>
  <c r="K51" i="14"/>
  <c r="K52" i="14"/>
  <c r="K53" i="14"/>
  <c r="K54" i="14"/>
  <c r="K55" i="14"/>
  <c r="K56" i="14"/>
  <c r="K57" i="14"/>
  <c r="K58" i="14"/>
  <c r="K59" i="14"/>
  <c r="K10" i="14"/>
  <c r="G14" i="14"/>
  <c r="G15" i="14"/>
  <c r="G27" i="14"/>
  <c r="G28" i="14"/>
  <c r="G32" i="14"/>
  <c r="G33" i="14"/>
  <c r="G34" i="14"/>
  <c r="G40" i="14"/>
  <c r="G44" i="14"/>
  <c r="G45" i="14"/>
  <c r="G46" i="14"/>
  <c r="G52" i="14"/>
  <c r="G56" i="14"/>
  <c r="G57" i="14"/>
  <c r="G58" i="14"/>
  <c r="D11" i="14"/>
  <c r="D12" i="14"/>
  <c r="D13" i="14"/>
  <c r="D14" i="14"/>
  <c r="D15" i="14"/>
  <c r="D16" i="14"/>
  <c r="D17" i="14"/>
  <c r="D18" i="14"/>
  <c r="D19" i="14"/>
  <c r="D20" i="14"/>
  <c r="D21" i="14"/>
  <c r="D22" i="14"/>
  <c r="D23" i="14"/>
  <c r="D24" i="14"/>
  <c r="D25" i="14"/>
  <c r="D26" i="14"/>
  <c r="D27" i="14"/>
  <c r="D28" i="14"/>
  <c r="D29" i="14"/>
  <c r="D30" i="14"/>
  <c r="D31" i="14"/>
  <c r="D32" i="14"/>
  <c r="D33" i="14"/>
  <c r="D34" i="14"/>
  <c r="D35" i="14"/>
  <c r="D36" i="14"/>
  <c r="D37" i="14"/>
  <c r="D38" i="14"/>
  <c r="D39" i="14"/>
  <c r="D40" i="14"/>
  <c r="D41" i="14"/>
  <c r="D42" i="14"/>
  <c r="D43" i="14"/>
  <c r="D44" i="14"/>
  <c r="D45" i="14"/>
  <c r="D46" i="14"/>
  <c r="D47" i="14"/>
  <c r="D48" i="14"/>
  <c r="D49" i="14"/>
  <c r="D50" i="14"/>
  <c r="D51" i="14"/>
  <c r="D52" i="14"/>
  <c r="D53" i="14"/>
  <c r="D54" i="14"/>
  <c r="D55" i="14"/>
  <c r="D56" i="14"/>
  <c r="D57" i="14"/>
  <c r="D58" i="14"/>
  <c r="D59" i="14"/>
  <c r="D10" i="14"/>
  <c r="E11" i="14"/>
  <c r="E12" i="14"/>
  <c r="E13" i="14"/>
  <c r="E14" i="14"/>
  <c r="E15" i="14"/>
  <c r="E16" i="14"/>
  <c r="E17" i="14"/>
  <c r="E18" i="14"/>
  <c r="E19" i="14"/>
  <c r="E20" i="14"/>
  <c r="E21" i="14"/>
  <c r="E22" i="14"/>
  <c r="E23" i="14"/>
  <c r="E24" i="14"/>
  <c r="E25" i="14"/>
  <c r="E26" i="14"/>
  <c r="E27" i="14"/>
  <c r="E28" i="14"/>
  <c r="E29" i="14"/>
  <c r="E30" i="14"/>
  <c r="E31" i="14"/>
  <c r="E32" i="14"/>
  <c r="E33" i="14"/>
  <c r="E34" i="14"/>
  <c r="E35" i="14"/>
  <c r="E36" i="14"/>
  <c r="E37" i="14"/>
  <c r="E38" i="14"/>
  <c r="E39" i="14"/>
  <c r="E40" i="14"/>
  <c r="E41" i="14"/>
  <c r="E42" i="14"/>
  <c r="E43" i="14"/>
  <c r="E44" i="14"/>
  <c r="E45" i="14"/>
  <c r="E46" i="14"/>
  <c r="E47" i="14"/>
  <c r="E48" i="14"/>
  <c r="E49" i="14"/>
  <c r="E50" i="14"/>
  <c r="E51" i="14"/>
  <c r="E52" i="14"/>
  <c r="E53" i="14"/>
  <c r="E54" i="14"/>
  <c r="E55" i="14"/>
  <c r="E56" i="14"/>
  <c r="E57" i="14"/>
  <c r="E58" i="14"/>
  <c r="E59" i="14"/>
  <c r="E10" i="14"/>
  <c r="B16" i="14"/>
  <c r="B17" i="14"/>
  <c r="B18" i="14"/>
  <c r="B19" i="14"/>
  <c r="B20" i="14"/>
  <c r="B21" i="14"/>
  <c r="B22" i="14"/>
  <c r="B23" i="14"/>
  <c r="B24" i="14"/>
  <c r="B25" i="14"/>
  <c r="B26" i="14"/>
  <c r="B27" i="14"/>
  <c r="B28" i="14"/>
  <c r="B29" i="14"/>
  <c r="B30" i="14"/>
  <c r="B31" i="14"/>
  <c r="B32" i="14"/>
  <c r="B33" i="14"/>
  <c r="B34" i="14"/>
  <c r="B35" i="14"/>
  <c r="B36" i="14"/>
  <c r="B37" i="14"/>
  <c r="B38" i="14"/>
  <c r="B39" i="14"/>
  <c r="B40" i="14"/>
  <c r="B41" i="14"/>
  <c r="B42" i="14"/>
  <c r="B43" i="14"/>
  <c r="B44" i="14"/>
  <c r="B45" i="14"/>
  <c r="B46" i="14"/>
  <c r="B47" i="14"/>
  <c r="B48" i="14"/>
  <c r="B49" i="14"/>
  <c r="B50" i="14"/>
  <c r="B51" i="14"/>
  <c r="B52" i="14"/>
  <c r="B53" i="14"/>
  <c r="B54" i="14"/>
  <c r="B55" i="14"/>
  <c r="B56" i="14"/>
  <c r="B57" i="14"/>
  <c r="B58" i="14"/>
  <c r="B59" i="14"/>
  <c r="B11" i="14"/>
  <c r="B12" i="14"/>
  <c r="B13" i="14"/>
  <c r="B14" i="14"/>
  <c r="B15" i="14"/>
  <c r="B10" i="14"/>
  <c r="C3" i="14"/>
  <c r="C2" i="14"/>
  <c r="C1" i="14"/>
  <c r="G9" i="13"/>
  <c r="G10" i="13"/>
  <c r="G11" i="13"/>
  <c r="G12" i="13"/>
  <c r="G13" i="13"/>
  <c r="G14" i="13"/>
  <c r="G15" i="13"/>
  <c r="G16" i="13"/>
  <c r="G17" i="13"/>
  <c r="G18" i="13"/>
  <c r="G19" i="13"/>
  <c r="G20" i="13"/>
  <c r="G21" i="13"/>
  <c r="G22" i="13"/>
  <c r="G23" i="13"/>
  <c r="G8" i="13"/>
  <c r="C3" i="13"/>
  <c r="C2" i="13"/>
  <c r="C1" i="13"/>
  <c r="K8" i="15"/>
  <c r="K9" i="15"/>
  <c r="L9" i="15" s="1"/>
  <c r="K10" i="15"/>
  <c r="K11" i="15"/>
  <c r="K12" i="15"/>
  <c r="K13" i="15"/>
  <c r="K14" i="15"/>
  <c r="K15" i="15"/>
  <c r="K16" i="15"/>
  <c r="K17" i="15"/>
  <c r="K18" i="15"/>
  <c r="K19" i="15"/>
  <c r="K20" i="15"/>
  <c r="K21" i="15"/>
  <c r="K22" i="15"/>
  <c r="K23" i="15"/>
  <c r="K24" i="15"/>
  <c r="L24" i="15" s="1"/>
  <c r="K25" i="15"/>
  <c r="L25" i="15" s="1"/>
  <c r="K26" i="15"/>
  <c r="K27" i="15"/>
  <c r="K28" i="15"/>
  <c r="K29" i="15"/>
  <c r="K30" i="15"/>
  <c r="K31" i="15"/>
  <c r="K32" i="15"/>
  <c r="K33" i="15"/>
  <c r="K34" i="15"/>
  <c r="K35" i="15"/>
  <c r="K36" i="15"/>
  <c r="K37" i="15"/>
  <c r="K38" i="15"/>
  <c r="K39" i="15"/>
  <c r="K40" i="15"/>
  <c r="K41" i="15"/>
  <c r="K42" i="15"/>
  <c r="K43" i="15"/>
  <c r="K44" i="15"/>
  <c r="K45" i="15"/>
  <c r="K46" i="15"/>
  <c r="K47" i="15"/>
  <c r="K48" i="15"/>
  <c r="K49" i="15"/>
  <c r="K50" i="15"/>
  <c r="K51" i="15"/>
  <c r="K52" i="15"/>
  <c r="K53" i="15"/>
  <c r="K54" i="15"/>
  <c r="K55" i="15"/>
  <c r="K56" i="15"/>
  <c r="K7" i="15"/>
  <c r="G8" i="15"/>
  <c r="G10" i="15"/>
  <c r="G11" i="15"/>
  <c r="I11" i="15" s="1"/>
  <c r="G13" i="15"/>
  <c r="G14" i="15"/>
  <c r="G15" i="15"/>
  <c r="G16" i="15"/>
  <c r="G17" i="15"/>
  <c r="G18" i="15"/>
  <c r="G19" i="15"/>
  <c r="G20" i="15"/>
  <c r="I20" i="15" s="1"/>
  <c r="G21" i="15"/>
  <c r="G22" i="15"/>
  <c r="G23" i="15"/>
  <c r="G26" i="15"/>
  <c r="G29" i="14" s="1"/>
  <c r="G27" i="15"/>
  <c r="G30" i="14" s="1"/>
  <c r="G28" i="15"/>
  <c r="G31" i="14" s="1"/>
  <c r="G29" i="15"/>
  <c r="G30" i="15"/>
  <c r="G31" i="15"/>
  <c r="G32" i="15"/>
  <c r="G35" i="14" s="1"/>
  <c r="G33" i="15"/>
  <c r="G36" i="14" s="1"/>
  <c r="G34" i="15"/>
  <c r="G37" i="14" s="1"/>
  <c r="G35" i="15"/>
  <c r="G38" i="14" s="1"/>
  <c r="G36" i="15"/>
  <c r="G39" i="14" s="1"/>
  <c r="G37" i="15"/>
  <c r="G38" i="15"/>
  <c r="G41" i="14" s="1"/>
  <c r="G39" i="15"/>
  <c r="G42" i="14" s="1"/>
  <c r="G40" i="15"/>
  <c r="G43" i="14" s="1"/>
  <c r="G41" i="15"/>
  <c r="G42" i="15"/>
  <c r="G43" i="15"/>
  <c r="G44" i="15"/>
  <c r="G47" i="14" s="1"/>
  <c r="G45" i="15"/>
  <c r="G48" i="14" s="1"/>
  <c r="G46" i="15"/>
  <c r="G49" i="14" s="1"/>
  <c r="G47" i="15"/>
  <c r="G50" i="14" s="1"/>
  <c r="G48" i="15"/>
  <c r="G51" i="14" s="1"/>
  <c r="G49" i="15"/>
  <c r="G50" i="15"/>
  <c r="G53" i="14" s="1"/>
  <c r="G51" i="15"/>
  <c r="G54" i="14" s="1"/>
  <c r="G52" i="15"/>
  <c r="G55" i="14" s="1"/>
  <c r="G53" i="15"/>
  <c r="G54" i="15"/>
  <c r="G55" i="15"/>
  <c r="G56" i="15"/>
  <c r="G59" i="14" s="1"/>
  <c r="G7" i="15"/>
  <c r="G10" i="14" s="1"/>
  <c r="F8" i="15"/>
  <c r="F9" i="15"/>
  <c r="F10" i="15"/>
  <c r="F11" i="15"/>
  <c r="F12" i="15"/>
  <c r="I12" i="15" s="1"/>
  <c r="F13" i="15"/>
  <c r="F14" i="15"/>
  <c r="F15" i="15"/>
  <c r="F16" i="15"/>
  <c r="F17" i="15"/>
  <c r="F18" i="15"/>
  <c r="F19" i="15"/>
  <c r="F20" i="15"/>
  <c r="F21" i="15"/>
  <c r="F22" i="15"/>
  <c r="F23" i="15"/>
  <c r="F26" i="15"/>
  <c r="F27" i="15"/>
  <c r="F28" i="15"/>
  <c r="F29" i="15"/>
  <c r="F30" i="15"/>
  <c r="F31" i="15"/>
  <c r="F32" i="15"/>
  <c r="F33" i="15"/>
  <c r="F34" i="15"/>
  <c r="F35" i="15"/>
  <c r="F36" i="15"/>
  <c r="F37" i="15"/>
  <c r="F38" i="15"/>
  <c r="F39" i="15"/>
  <c r="F40" i="15"/>
  <c r="F41" i="15"/>
  <c r="F42" i="15"/>
  <c r="F43" i="15"/>
  <c r="F44" i="15"/>
  <c r="F45" i="15"/>
  <c r="F46" i="15"/>
  <c r="F47" i="15"/>
  <c r="F48" i="15"/>
  <c r="F49" i="15"/>
  <c r="F50" i="15"/>
  <c r="F51" i="15"/>
  <c r="F52" i="15"/>
  <c r="F53" i="15"/>
  <c r="F54" i="15"/>
  <c r="F55" i="15"/>
  <c r="F56" i="15"/>
  <c r="D56" i="15"/>
  <c r="C56" i="15"/>
  <c r="B56" i="15"/>
  <c r="D55" i="15"/>
  <c r="C55" i="15"/>
  <c r="B55" i="15"/>
  <c r="D54" i="15"/>
  <c r="C54" i="15"/>
  <c r="B54" i="15"/>
  <c r="D53" i="15"/>
  <c r="C53" i="15"/>
  <c r="B53" i="15"/>
  <c r="D52" i="15"/>
  <c r="C52" i="15"/>
  <c r="B52" i="15"/>
  <c r="D51" i="15"/>
  <c r="C51" i="15"/>
  <c r="B51" i="15"/>
  <c r="D50" i="15"/>
  <c r="C50" i="15"/>
  <c r="B50" i="15"/>
  <c r="D49" i="15"/>
  <c r="C49" i="15"/>
  <c r="B49" i="15"/>
  <c r="D48" i="15"/>
  <c r="C48" i="15"/>
  <c r="B48" i="15"/>
  <c r="D47" i="15"/>
  <c r="C47" i="15"/>
  <c r="B47" i="15"/>
  <c r="D46" i="15"/>
  <c r="C46" i="15"/>
  <c r="B46" i="15"/>
  <c r="D45" i="15"/>
  <c r="C45" i="15"/>
  <c r="B45" i="15"/>
  <c r="D44" i="15"/>
  <c r="C44" i="15"/>
  <c r="B44" i="15"/>
  <c r="D43" i="15"/>
  <c r="C43" i="15"/>
  <c r="B43" i="15"/>
  <c r="D42" i="15"/>
  <c r="C42" i="15"/>
  <c r="B42" i="15"/>
  <c r="D41" i="15"/>
  <c r="C41" i="15"/>
  <c r="B41" i="15"/>
  <c r="D40" i="15"/>
  <c r="C40" i="15"/>
  <c r="B40" i="15"/>
  <c r="D39" i="15"/>
  <c r="C39" i="15"/>
  <c r="B39" i="15"/>
  <c r="D38" i="15"/>
  <c r="C38" i="15"/>
  <c r="B38" i="15"/>
  <c r="D37" i="15"/>
  <c r="C37" i="15"/>
  <c r="B37" i="15"/>
  <c r="D36" i="15"/>
  <c r="C36" i="15"/>
  <c r="B36" i="15"/>
  <c r="D35" i="15"/>
  <c r="C35" i="15"/>
  <c r="B35" i="15"/>
  <c r="D34" i="15"/>
  <c r="C34" i="15"/>
  <c r="B34" i="15"/>
  <c r="D33" i="15"/>
  <c r="C33" i="15"/>
  <c r="B33" i="15"/>
  <c r="D32" i="15"/>
  <c r="C32" i="15"/>
  <c r="B32" i="15"/>
  <c r="D31" i="15"/>
  <c r="C31" i="15"/>
  <c r="B31" i="15"/>
  <c r="D30" i="15"/>
  <c r="C30" i="15"/>
  <c r="B30" i="15"/>
  <c r="D29" i="15"/>
  <c r="C29" i="15"/>
  <c r="B29" i="15"/>
  <c r="D28" i="15"/>
  <c r="C28" i="15"/>
  <c r="B28" i="15"/>
  <c r="D27" i="15"/>
  <c r="C27" i="15"/>
  <c r="B27" i="15"/>
  <c r="D26" i="15"/>
  <c r="C26" i="15"/>
  <c r="B26" i="15"/>
  <c r="D23" i="15"/>
  <c r="C23" i="15"/>
  <c r="B23" i="15"/>
  <c r="D22" i="15"/>
  <c r="C22" i="15"/>
  <c r="B22" i="15"/>
  <c r="D21" i="15"/>
  <c r="C21" i="15"/>
  <c r="B21" i="15"/>
  <c r="D20" i="15"/>
  <c r="C20" i="15"/>
  <c r="B20" i="15"/>
  <c r="D19" i="15"/>
  <c r="C19" i="15"/>
  <c r="B19" i="15"/>
  <c r="D18" i="15"/>
  <c r="C18" i="15"/>
  <c r="B18" i="15"/>
  <c r="D17" i="15"/>
  <c r="C17" i="15"/>
  <c r="B17" i="15"/>
  <c r="D16" i="15"/>
  <c r="C16" i="15"/>
  <c r="B16" i="15"/>
  <c r="D15" i="15"/>
  <c r="C15" i="15"/>
  <c r="B15" i="15"/>
  <c r="D14" i="15"/>
  <c r="C14" i="15"/>
  <c r="B14" i="15"/>
  <c r="D13" i="15"/>
  <c r="C13" i="15"/>
  <c r="B13" i="15"/>
  <c r="D12" i="15"/>
  <c r="C12" i="15"/>
  <c r="B12" i="15"/>
  <c r="D11" i="15"/>
  <c r="C11" i="15"/>
  <c r="B11" i="15"/>
  <c r="D10" i="15"/>
  <c r="C10" i="15"/>
  <c r="B10" i="15"/>
  <c r="D9" i="15"/>
  <c r="C9" i="15"/>
  <c r="B9" i="15"/>
  <c r="D8" i="15"/>
  <c r="C8" i="15"/>
  <c r="B8" i="15"/>
  <c r="D7" i="15"/>
  <c r="C7" i="15"/>
  <c r="B7" i="15"/>
  <c r="C3" i="15"/>
  <c r="C2" i="15"/>
  <c r="C1" i="15"/>
  <c r="M1" i="5"/>
  <c r="O57" i="5"/>
  <c r="D8" i="5"/>
  <c r="D9" i="5"/>
  <c r="D10" i="5"/>
  <c r="D11" i="5"/>
  <c r="D12" i="5"/>
  <c r="D13" i="5"/>
  <c r="D14" i="5"/>
  <c r="D15" i="5"/>
  <c r="D16" i="5"/>
  <c r="D17" i="5"/>
  <c r="D18" i="5"/>
  <c r="D19" i="5"/>
  <c r="D20" i="5"/>
  <c r="D21" i="5"/>
  <c r="D22" i="5"/>
  <c r="D23" i="5"/>
  <c r="D24" i="5"/>
  <c r="D25" i="5"/>
  <c r="D26" i="5"/>
  <c r="D27" i="5"/>
  <c r="D28" i="5"/>
  <c r="D29" i="5"/>
  <c r="D30" i="5"/>
  <c r="D31" i="5"/>
  <c r="D32" i="5"/>
  <c r="D33" i="5"/>
  <c r="D34" i="5"/>
  <c r="D35" i="5"/>
  <c r="D36" i="5"/>
  <c r="D37" i="5"/>
  <c r="D38" i="5"/>
  <c r="D39" i="5"/>
  <c r="D40" i="5"/>
  <c r="D41" i="5"/>
  <c r="D42" i="5"/>
  <c r="D43" i="5"/>
  <c r="D44" i="5"/>
  <c r="D45" i="5"/>
  <c r="D46" i="5"/>
  <c r="D47" i="5"/>
  <c r="D48" i="5"/>
  <c r="D49" i="5"/>
  <c r="D50" i="5"/>
  <c r="D51" i="5"/>
  <c r="D52" i="5"/>
  <c r="D53" i="5"/>
  <c r="D54" i="5"/>
  <c r="D55" i="5"/>
  <c r="D56" i="5"/>
  <c r="D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33" i="5"/>
  <c r="C34" i="5"/>
  <c r="C35" i="5"/>
  <c r="C36" i="5"/>
  <c r="C37" i="5"/>
  <c r="C38" i="5"/>
  <c r="C39" i="5"/>
  <c r="C40" i="5"/>
  <c r="C41" i="5"/>
  <c r="C42" i="5"/>
  <c r="C43" i="5"/>
  <c r="C44" i="5"/>
  <c r="C45" i="5"/>
  <c r="C46" i="5"/>
  <c r="C47" i="5"/>
  <c r="C48" i="5"/>
  <c r="C49" i="5"/>
  <c r="C50" i="5"/>
  <c r="C51" i="5"/>
  <c r="C52" i="5"/>
  <c r="C53" i="5"/>
  <c r="C54" i="5"/>
  <c r="C55" i="5"/>
  <c r="C56" i="5"/>
  <c r="C7" i="5"/>
  <c r="B24" i="5"/>
  <c r="B25" i="5"/>
  <c r="B26" i="5"/>
  <c r="B27" i="5"/>
  <c r="B28" i="5"/>
  <c r="B29" i="5"/>
  <c r="B30" i="5"/>
  <c r="B31" i="5"/>
  <c r="B32" i="5"/>
  <c r="B33" i="5"/>
  <c r="B34" i="5"/>
  <c r="B35" i="5"/>
  <c r="B36" i="5"/>
  <c r="B37" i="5"/>
  <c r="B38" i="5"/>
  <c r="B39" i="5"/>
  <c r="B40" i="5"/>
  <c r="B41" i="5"/>
  <c r="B42" i="5"/>
  <c r="B43" i="5"/>
  <c r="B44" i="5"/>
  <c r="B45" i="5"/>
  <c r="B46" i="5"/>
  <c r="B47" i="5"/>
  <c r="B48" i="5"/>
  <c r="B49" i="5"/>
  <c r="B50" i="5"/>
  <c r="B51" i="5"/>
  <c r="B52" i="5"/>
  <c r="B53" i="5"/>
  <c r="B54" i="5"/>
  <c r="B55" i="5"/>
  <c r="B56" i="5"/>
  <c r="B23" i="5"/>
  <c r="B22" i="5"/>
  <c r="B21" i="5"/>
  <c r="B20" i="5"/>
  <c r="B19" i="5"/>
  <c r="B18" i="5"/>
  <c r="B17" i="5"/>
  <c r="B16" i="5"/>
  <c r="B15" i="5"/>
  <c r="B14" i="5"/>
  <c r="B13" i="5"/>
  <c r="B12" i="5"/>
  <c r="B11" i="5"/>
  <c r="B10" i="5"/>
  <c r="B9" i="5"/>
  <c r="B8" i="5"/>
  <c r="B7" i="5"/>
  <c r="C3" i="5"/>
  <c r="C2" i="5"/>
  <c r="C1" i="5"/>
  <c r="I23" i="15" l="1"/>
  <c r="G13" i="14"/>
  <c r="I10" i="15"/>
  <c r="G12" i="14"/>
  <c r="I9" i="15"/>
  <c r="M9" i="15" s="1"/>
  <c r="N9" i="15" s="1"/>
  <c r="G25" i="14"/>
  <c r="I22" i="15"/>
  <c r="G11" i="14"/>
  <c r="I8" i="15"/>
  <c r="G17" i="14"/>
  <c r="I14" i="15"/>
  <c r="J14" i="15" s="1"/>
  <c r="I19" i="15"/>
  <c r="G16" i="14"/>
  <c r="I13" i="15"/>
  <c r="G21" i="14"/>
  <c r="I18" i="15"/>
  <c r="G26" i="14"/>
  <c r="L14" i="15"/>
  <c r="J20" i="15"/>
  <c r="L20" i="15" s="1"/>
  <c r="G20" i="14"/>
  <c r="I17" i="15"/>
  <c r="G23" i="14"/>
  <c r="I27" i="15"/>
  <c r="G19" i="14"/>
  <c r="I16" i="15"/>
  <c r="J16" i="15" s="1"/>
  <c r="L16" i="15"/>
  <c r="G22" i="14"/>
  <c r="I26" i="15"/>
  <c r="G24" i="14"/>
  <c r="I21" i="15"/>
  <c r="I15" i="15"/>
  <c r="J15" i="15" s="1"/>
  <c r="M15" i="15" s="1"/>
  <c r="N15" i="15" s="1"/>
  <c r="L15" i="15"/>
  <c r="G18" i="14"/>
  <c r="G24" i="13"/>
  <c r="E10" i="12" s="1"/>
  <c r="M3" i="5"/>
  <c r="E8" i="12"/>
  <c r="I54" i="15"/>
  <c r="I50" i="15"/>
  <c r="I46" i="15"/>
  <c r="I42" i="15"/>
  <c r="I38" i="15"/>
  <c r="I34" i="15"/>
  <c r="I30" i="15"/>
  <c r="M14" i="15"/>
  <c r="N14" i="15" s="1"/>
  <c r="I55" i="15"/>
  <c r="I51" i="15"/>
  <c r="I47" i="15"/>
  <c r="I39" i="15"/>
  <c r="I35" i="15"/>
  <c r="I31" i="15"/>
  <c r="I43" i="15"/>
  <c r="I7" i="15"/>
  <c r="I53" i="15"/>
  <c r="I49" i="15"/>
  <c r="I45" i="15"/>
  <c r="I41" i="15"/>
  <c r="I37" i="15"/>
  <c r="I33" i="15"/>
  <c r="I29" i="15"/>
  <c r="I56" i="15"/>
  <c r="I52" i="15"/>
  <c r="I48" i="15"/>
  <c r="I44" i="15"/>
  <c r="I40" i="15"/>
  <c r="I36" i="15"/>
  <c r="I32" i="15"/>
  <c r="I28" i="15"/>
  <c r="M16" i="15"/>
  <c r="N16" i="15" s="1"/>
  <c r="J18" i="15" l="1"/>
  <c r="L18" i="15" s="1"/>
  <c r="M18" i="15"/>
  <c r="J27" i="15"/>
  <c r="L27" i="15" s="1"/>
  <c r="J21" i="15"/>
  <c r="L21" i="15" s="1"/>
  <c r="J19" i="15"/>
  <c r="L19" i="15" s="1"/>
  <c r="M19" i="15"/>
  <c r="J22" i="15"/>
  <c r="L22" i="15" s="1"/>
  <c r="J17" i="15"/>
  <c r="L17" i="15" s="1"/>
  <c r="J26" i="15"/>
  <c r="L26" i="15" s="1"/>
  <c r="M26" i="15"/>
  <c r="M20" i="15"/>
  <c r="J23" i="15"/>
  <c r="L23" i="15" s="1"/>
  <c r="J32" i="15"/>
  <c r="L32" i="15" s="1"/>
  <c r="J13" i="15"/>
  <c r="L13" i="15" s="1"/>
  <c r="J45" i="15"/>
  <c r="L45" i="15" s="1"/>
  <c r="J39" i="15"/>
  <c r="L39" i="15" s="1"/>
  <c r="J42" i="15"/>
  <c r="L42" i="15" s="1"/>
  <c r="J52" i="15"/>
  <c r="L52" i="15" s="1"/>
  <c r="J33" i="15"/>
  <c r="L33" i="15" s="1"/>
  <c r="J46" i="15"/>
  <c r="L46" i="15" s="1"/>
  <c r="J8" i="15"/>
  <c r="L8" i="15" s="1"/>
  <c r="N24" i="15"/>
  <c r="J40" i="15"/>
  <c r="L40" i="15" s="1"/>
  <c r="J56" i="15"/>
  <c r="L56" i="15" s="1"/>
  <c r="J37" i="15"/>
  <c r="L37" i="15" s="1"/>
  <c r="J53" i="15"/>
  <c r="L53" i="15" s="1"/>
  <c r="J31" i="15"/>
  <c r="L31" i="15" s="1"/>
  <c r="J51" i="15"/>
  <c r="L51" i="15" s="1"/>
  <c r="J34" i="15"/>
  <c r="L34" i="15" s="1"/>
  <c r="J50" i="15"/>
  <c r="L50" i="15" s="1"/>
  <c r="J48" i="15"/>
  <c r="L48" i="15" s="1"/>
  <c r="J29" i="15"/>
  <c r="L29" i="15" s="1"/>
  <c r="J43" i="15"/>
  <c r="L43" i="15" s="1"/>
  <c r="J36" i="15"/>
  <c r="L36" i="15" s="1"/>
  <c r="J49" i="15"/>
  <c r="L49" i="15" s="1"/>
  <c r="M49" i="15"/>
  <c r="N49" i="15" s="1"/>
  <c r="J11" i="15"/>
  <c r="L11" i="15" s="1"/>
  <c r="J47" i="15"/>
  <c r="L47" i="15" s="1"/>
  <c r="J30" i="15"/>
  <c r="L30" i="15" s="1"/>
  <c r="J12" i="15"/>
  <c r="L12" i="15" s="1"/>
  <c r="J28" i="15"/>
  <c r="L28" i="15" s="1"/>
  <c r="J44" i="15"/>
  <c r="L44" i="15" s="1"/>
  <c r="N25" i="15"/>
  <c r="J41" i="15"/>
  <c r="L41" i="15" s="1"/>
  <c r="J7" i="15"/>
  <c r="L7" i="15" s="1"/>
  <c r="J35" i="15"/>
  <c r="L35" i="15" s="1"/>
  <c r="J55" i="15"/>
  <c r="L55" i="15" s="1"/>
  <c r="J10" i="15"/>
  <c r="L10" i="15" s="1"/>
  <c r="J38" i="15"/>
  <c r="L38" i="15" s="1"/>
  <c r="J54" i="15"/>
  <c r="L54" i="15" s="1"/>
  <c r="M17" i="15" l="1"/>
  <c r="M21" i="15"/>
  <c r="N21" i="15" s="1"/>
  <c r="M23" i="15"/>
  <c r="M27" i="15"/>
  <c r="M22" i="15"/>
  <c r="N22" i="15" s="1"/>
  <c r="N19" i="15"/>
  <c r="M12" i="15"/>
  <c r="N12" i="15" s="1"/>
  <c r="M13" i="15"/>
  <c r="N13" i="15" s="1"/>
  <c r="M37" i="15"/>
  <c r="N37" i="15" s="1"/>
  <c r="M43" i="15"/>
  <c r="N43" i="15" s="1"/>
  <c r="N27" i="15"/>
  <c r="M32" i="15"/>
  <c r="N32" i="15" s="1"/>
  <c r="M38" i="15"/>
  <c r="N38" i="15" s="1"/>
  <c r="M34" i="15"/>
  <c r="N34" i="15" s="1"/>
  <c r="M42" i="15"/>
  <c r="N42" i="15" s="1"/>
  <c r="M41" i="15"/>
  <c r="N41" i="15" s="1"/>
  <c r="M44" i="15"/>
  <c r="N44" i="15" s="1"/>
  <c r="M36" i="15"/>
  <c r="N36" i="15" s="1"/>
  <c r="M31" i="15"/>
  <c r="N31" i="15" s="1"/>
  <c r="M46" i="15"/>
  <c r="N46" i="15" s="1"/>
  <c r="N23" i="15"/>
  <c r="M55" i="15"/>
  <c r="N55" i="15" s="1"/>
  <c r="M47" i="15"/>
  <c r="N47" i="15" s="1"/>
  <c r="M48" i="15"/>
  <c r="N48" i="15" s="1"/>
  <c r="M56" i="15"/>
  <c r="N56" i="15" s="1"/>
  <c r="M52" i="15"/>
  <c r="N52" i="15" s="1"/>
  <c r="M54" i="15"/>
  <c r="N54" i="15" s="1"/>
  <c r="M10" i="15"/>
  <c r="N10" i="15" s="1"/>
  <c r="M35" i="15"/>
  <c r="N35" i="15" s="1"/>
  <c r="M7" i="15"/>
  <c r="N7" i="15" s="1"/>
  <c r="M28" i="15"/>
  <c r="N28" i="15" s="1"/>
  <c r="M30" i="15"/>
  <c r="N30" i="15" s="1"/>
  <c r="M11" i="15"/>
  <c r="N11" i="15" s="1"/>
  <c r="N17" i="15"/>
  <c r="N26" i="15"/>
  <c r="M29" i="15"/>
  <c r="N29" i="15" s="1"/>
  <c r="M50" i="15"/>
  <c r="N50" i="15" s="1"/>
  <c r="M51" i="15"/>
  <c r="N51" i="15" s="1"/>
  <c r="M53" i="15"/>
  <c r="N53" i="15" s="1"/>
  <c r="M40" i="15"/>
  <c r="N40" i="15" s="1"/>
  <c r="M8" i="15"/>
  <c r="N8" i="15" s="1"/>
  <c r="N18" i="15"/>
  <c r="M33" i="15"/>
  <c r="N33" i="15" s="1"/>
  <c r="N20" i="15"/>
  <c r="M39" i="15"/>
  <c r="N39" i="15" s="1"/>
  <c r="M45" i="15"/>
  <c r="N45" i="15" s="1"/>
  <c r="L57" i="15"/>
  <c r="E9" i="12" s="1"/>
  <c r="K60" i="14" l="1"/>
  <c r="E11" i="12" s="1"/>
  <c r="E21" i="1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Adriana</author>
  </authors>
  <commentList>
    <comment ref="I6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Adriana:</t>
        </r>
        <r>
          <rPr>
            <sz val="9"/>
            <color indexed="81"/>
            <rFont val="Tahoma"/>
            <family val="2"/>
          </rPr>
          <t xml:space="preserve">
JJ3590 - 06:00 (CGR); 08:22 (BSB)</t>
        </r>
      </text>
    </comment>
    <comment ref="M6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Adriana:</t>
        </r>
        <r>
          <rPr>
            <sz val="9"/>
            <color indexed="81"/>
            <rFont val="Tahoma"/>
            <family val="2"/>
          </rPr>
          <t xml:space="preserve">
JJ3590 - 06:00 (CGR); 08:22 (BSB)</t>
        </r>
      </text>
    </comment>
  </commentList>
</comments>
</file>

<file path=xl/sharedStrings.xml><?xml version="1.0" encoding="utf-8"?>
<sst xmlns="http://schemas.openxmlformats.org/spreadsheetml/2006/main" count="137" uniqueCount="81">
  <si>
    <t xml:space="preserve">Nome </t>
  </si>
  <si>
    <t>Total</t>
  </si>
  <si>
    <t>Qtd Almoço</t>
  </si>
  <si>
    <t>Qtd Jantar</t>
  </si>
  <si>
    <t>E-mail</t>
  </si>
  <si>
    <t>Origem</t>
  </si>
  <si>
    <t xml:space="preserve">Valor </t>
  </si>
  <si>
    <t>Serviço de sala</t>
  </si>
  <si>
    <t xml:space="preserve"> </t>
  </si>
  <si>
    <t>Check-in</t>
  </si>
  <si>
    <t>Check-out</t>
  </si>
  <si>
    <t>Tarifa</t>
  </si>
  <si>
    <t>Nº associado</t>
  </si>
  <si>
    <t>Almoço</t>
  </si>
  <si>
    <t>Função</t>
  </si>
  <si>
    <t>Fonte de Custeio</t>
  </si>
  <si>
    <t>Data Ida</t>
  </si>
  <si>
    <t>Cia aerea</t>
  </si>
  <si>
    <t>Data Volta</t>
  </si>
  <si>
    <t>Valor Hóspede</t>
  </si>
  <si>
    <t>DIÁRIAS</t>
  </si>
  <si>
    <t>Projetor</t>
  </si>
  <si>
    <t>Tela</t>
  </si>
  <si>
    <r>
      <t xml:space="preserve">Check in / </t>
    </r>
    <r>
      <rPr>
        <b/>
        <sz val="10"/>
        <rFont val="Calibri"/>
        <family val="2"/>
        <scheme val="minor"/>
      </rPr>
      <t>Voo</t>
    </r>
  </si>
  <si>
    <r>
      <t xml:space="preserve">Check out / </t>
    </r>
    <r>
      <rPr>
        <b/>
        <sz val="10"/>
        <rFont val="Calibri"/>
        <family val="2"/>
        <scheme val="minor"/>
      </rPr>
      <t>Voo</t>
    </r>
  </si>
  <si>
    <t>Data de Nascimento</t>
  </si>
  <si>
    <t>CPF</t>
  </si>
  <si>
    <t>RG</t>
  </si>
  <si>
    <t>Técnico</t>
  </si>
  <si>
    <t>EVENTO:</t>
  </si>
  <si>
    <t>PERÍODO:</t>
  </si>
  <si>
    <t>LOCAL:</t>
  </si>
  <si>
    <t>DADOS DOS PARTICIPANTES</t>
  </si>
  <si>
    <t>Telefone</t>
  </si>
  <si>
    <t>NOME</t>
  </si>
  <si>
    <t>DADOS DO PARTICIPANTE</t>
  </si>
  <si>
    <t>Observação</t>
  </si>
  <si>
    <t>Horário-saída-aero-chegada-aero</t>
  </si>
  <si>
    <t>Voo(s)</t>
  </si>
  <si>
    <t>DADOS DA IDA</t>
  </si>
  <si>
    <t>Orçado</t>
  </si>
  <si>
    <t>TOTAIS</t>
  </si>
  <si>
    <t>TOTAL ORÇADO:</t>
  </si>
  <si>
    <t>TOTAL REALIZADO:</t>
  </si>
  <si>
    <t>DADOS DA VOLTA</t>
  </si>
  <si>
    <t>OUTRAS INFORMAÇÕES</t>
  </si>
  <si>
    <t>% Orçado vs. Realizado</t>
  </si>
  <si>
    <t>QUARTO SINGLE:</t>
  </si>
  <si>
    <t>QUARTO DOUBLE:</t>
  </si>
  <si>
    <t>TARIFAS HOSPEDAGEM (DIÁRIA + TAXAS)</t>
  </si>
  <si>
    <t>Categoria Quarto</t>
  </si>
  <si>
    <t>Single</t>
  </si>
  <si>
    <t>Double</t>
  </si>
  <si>
    <t>Qtd. Diárias</t>
  </si>
  <si>
    <t>Diárias SBC</t>
  </si>
  <si>
    <t>HÓSPEDE - PAX1</t>
  </si>
  <si>
    <t>ACOMPANHANTE - PAX2</t>
  </si>
  <si>
    <t>Total Período SBC</t>
  </si>
  <si>
    <t>ITENS CONTRATADOS</t>
  </si>
  <si>
    <t>Descrição</t>
  </si>
  <si>
    <t>Qtd.</t>
  </si>
  <si>
    <t>Valor Unitário</t>
  </si>
  <si>
    <t>Valor Total</t>
  </si>
  <si>
    <t>TOTAL</t>
  </si>
  <si>
    <t xml:space="preserve">Sala </t>
  </si>
  <si>
    <t>Coffee</t>
  </si>
  <si>
    <t>DIRETORIA - ALMOÇO</t>
  </si>
  <si>
    <t>DIRETORIA - JANTAR (a partir das 18h)</t>
  </si>
  <si>
    <t>FUNCIONÁRIO</t>
  </si>
  <si>
    <t>DESPESAS COM UBER/TRANSLADO</t>
  </si>
  <si>
    <t>CUSTOS TOTAIS</t>
  </si>
  <si>
    <t>ITEM</t>
  </si>
  <si>
    <t>VALOR</t>
  </si>
  <si>
    <t>HOSPEDAGEM</t>
  </si>
  <si>
    <t>PASSAGEM</t>
  </si>
  <si>
    <t>SALA DE REUNIÕES/COFFEE</t>
  </si>
  <si>
    <t>TRANSLADO</t>
  </si>
  <si>
    <t>OUTROS</t>
  </si>
  <si>
    <t>Diária Extra</t>
  </si>
  <si>
    <r>
      <rPr>
        <b/>
        <sz val="9"/>
        <color theme="1"/>
        <rFont val="Calibri"/>
        <family val="2"/>
        <scheme val="minor"/>
      </rPr>
      <t>Funcionário:</t>
    </r>
    <r>
      <rPr>
        <sz val="9"/>
        <color theme="1"/>
        <rFont val="Calibri"/>
        <family val="2"/>
        <scheme val="minor"/>
      </rPr>
      <t xml:space="preserve"> recebe diárias para o dia de ida até o dia de volta (= última dia atividade), excluindo os dias extras.</t>
    </r>
  </si>
  <si>
    <r>
      <rPr>
        <b/>
        <sz val="9"/>
        <color theme="1"/>
        <rFont val="Calibri"/>
        <family val="2"/>
        <scheme val="minor"/>
      </rPr>
      <t xml:space="preserve">Diretoria e Conselho: </t>
    </r>
    <r>
      <rPr>
        <sz val="9"/>
        <color theme="1"/>
        <rFont val="Calibri"/>
        <family val="2"/>
        <scheme val="minor"/>
      </rPr>
      <t>recebe diária conforme horários dos voos, excluindo o dia em que a SBC vai custear almoço e jantar.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</si>
</sst>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7" formatCode="&quot;R$&quot;\ #,##0.00;\-&quot;R$&quot;\ #,##0.00"/>
    <numFmt numFmtId="44" formatCode="_-&quot;R$&quot;\ * #,##0.00_-;\-&quot;R$&quot;\ * #,##0.00_-;_-&quot;R$&quot;\ * &quot;-&quot;??_-;_-@_-"/>
    <numFmt numFmtId="164" formatCode="&quot;R$ &quot;#,##0.00"/>
    <numFmt numFmtId="165" formatCode="&quot;R$&quot;\ #,##0.00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1"/>
      <name val="Calibri"/>
      <family val="2"/>
      <scheme val="minor"/>
    </font>
    <font>
      <b/>
      <sz val="11"/>
      <color indexed="8"/>
      <name val="Calibri"/>
      <family val="2"/>
      <scheme val="minor"/>
    </font>
    <font>
      <sz val="11"/>
      <name val="Calibri"/>
      <family val="2"/>
      <scheme val="minor"/>
    </font>
    <font>
      <b/>
      <sz val="10"/>
      <color indexed="8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</fills>
  <borders count="40">
    <border>
      <left/>
      <right/>
      <top/>
      <bottom/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rgb="FF000000"/>
      </left>
      <right style="hair">
        <color rgb="FF000000"/>
      </right>
      <top/>
      <bottom style="hair">
        <color rgb="FF000000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/>
      <top style="dotted">
        <color auto="1"/>
      </top>
      <bottom style="dotted">
        <color auto="1"/>
      </bottom>
      <diagonal/>
    </border>
    <border>
      <left/>
      <right/>
      <top style="dotted">
        <color auto="1"/>
      </top>
      <bottom style="dotted">
        <color auto="1"/>
      </bottom>
      <diagonal/>
    </border>
    <border>
      <left/>
      <right style="dotted">
        <color auto="1"/>
      </right>
      <top style="dotted">
        <color auto="1"/>
      </top>
      <bottom style="dotted">
        <color auto="1"/>
      </bottom>
      <diagonal/>
    </border>
    <border>
      <left/>
      <right/>
      <top style="dotted">
        <color auto="1"/>
      </top>
      <bottom/>
      <diagonal/>
    </border>
    <border>
      <left/>
      <right style="dotted">
        <color auto="1"/>
      </right>
      <top style="dotted">
        <color auto="1"/>
      </top>
      <bottom/>
      <diagonal/>
    </border>
    <border>
      <left style="dotted">
        <color indexed="64"/>
      </left>
      <right style="thin">
        <color indexed="64"/>
      </right>
      <top style="dotted">
        <color indexed="64"/>
      </top>
      <bottom/>
      <diagonal/>
    </border>
    <border>
      <left style="thin">
        <color indexed="64"/>
      </left>
      <right style="thin">
        <color indexed="64"/>
      </right>
      <top style="dotted">
        <color indexed="64"/>
      </top>
      <bottom/>
      <diagonal/>
    </border>
    <border>
      <left style="thin">
        <color indexed="64"/>
      </left>
      <right style="dotted">
        <color indexed="64"/>
      </right>
      <top style="dotted">
        <color indexed="64"/>
      </top>
      <bottom/>
      <diagonal/>
    </border>
    <border>
      <left style="dotted">
        <color auto="1"/>
      </left>
      <right/>
      <top style="dotted">
        <color auto="1"/>
      </top>
      <bottom/>
      <diagonal/>
    </border>
    <border>
      <left style="dotted">
        <color auto="1"/>
      </left>
      <right/>
      <top/>
      <bottom/>
      <diagonal/>
    </border>
    <border>
      <left/>
      <right style="dotted">
        <color auto="1"/>
      </right>
      <top/>
      <bottom/>
      <diagonal/>
    </border>
    <border>
      <left style="dashDotDot">
        <color auto="1"/>
      </left>
      <right/>
      <top style="dotted">
        <color auto="1"/>
      </top>
      <bottom style="dotted">
        <color auto="1"/>
      </bottom>
      <diagonal/>
    </border>
    <border>
      <left style="dashDotDot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hair">
        <color indexed="64"/>
      </left>
      <right/>
      <top style="hair">
        <color indexed="64"/>
      </top>
      <bottom style="hair">
        <color rgb="FF000000"/>
      </bottom>
      <diagonal/>
    </border>
    <border>
      <left/>
      <right style="hair">
        <color indexed="64"/>
      </right>
      <top style="hair">
        <color indexed="64"/>
      </top>
      <bottom style="hair">
        <color rgb="FF000000"/>
      </bottom>
      <diagonal/>
    </border>
    <border>
      <left/>
      <right/>
      <top style="hair">
        <color indexed="64"/>
      </top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/>
      <diagonal/>
    </border>
    <border>
      <left style="dotted">
        <color auto="1"/>
      </left>
      <right style="dotted">
        <color auto="1"/>
      </right>
      <top/>
      <bottom style="dotted">
        <color auto="1"/>
      </bottom>
      <diagonal/>
    </border>
    <border>
      <left style="dotted">
        <color auto="1"/>
      </left>
      <right style="dashDotDot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dashDotDot">
        <color auto="1"/>
      </right>
      <top style="dotted">
        <color auto="1"/>
      </top>
      <bottom/>
      <diagonal/>
    </border>
    <border>
      <left style="dotted">
        <color auto="1"/>
      </left>
      <right style="dashDotDot">
        <color auto="1"/>
      </right>
      <top/>
      <bottom style="dotted">
        <color auto="1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 style="hair">
        <color rgb="FF000000"/>
      </right>
      <top style="hair">
        <color indexed="64"/>
      </top>
      <bottom style="hair">
        <color indexed="64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52">
    <xf numFmtId="0" fontId="0" fillId="0" borderId="0" xfId="0"/>
    <xf numFmtId="0" fontId="0" fillId="2" borderId="0" xfId="0" applyFill="1"/>
    <xf numFmtId="0" fontId="4" fillId="0" borderId="0" xfId="0" applyFont="1"/>
    <xf numFmtId="0" fontId="4" fillId="0" borderId="0" xfId="0" applyFont="1" applyAlignment="1">
      <alignment horizontal="center"/>
    </xf>
    <xf numFmtId="44" fontId="4" fillId="0" borderId="0" xfId="1" applyFont="1"/>
    <xf numFmtId="0" fontId="4" fillId="2" borderId="0" xfId="0" applyFont="1" applyFill="1"/>
    <xf numFmtId="0" fontId="6" fillId="0" borderId="0" xfId="0" applyFont="1" applyAlignment="1">
      <alignment horizontal="right"/>
    </xf>
    <xf numFmtId="44" fontId="3" fillId="2" borderId="3" xfId="1" applyFont="1" applyFill="1" applyBorder="1"/>
    <xf numFmtId="44" fontId="11" fillId="2" borderId="4" xfId="1" applyFont="1" applyFill="1" applyBorder="1"/>
    <xf numFmtId="0" fontId="2" fillId="3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 applyProtection="1">
      <alignment horizontal="left"/>
      <protection locked="0"/>
    </xf>
    <xf numFmtId="0" fontId="3" fillId="2" borderId="3" xfId="0" applyFont="1" applyFill="1" applyBorder="1" applyAlignment="1" applyProtection="1">
      <alignment horizontal="center" vertical="center"/>
      <protection locked="0"/>
    </xf>
    <xf numFmtId="0" fontId="3" fillId="2" borderId="3" xfId="0" applyFont="1" applyFill="1" applyBorder="1" applyAlignment="1" applyProtection="1">
      <alignment horizontal="center"/>
      <protection locked="0"/>
    </xf>
    <xf numFmtId="0" fontId="3" fillId="2" borderId="3" xfId="0" applyFont="1" applyFill="1" applyBorder="1" applyAlignment="1">
      <alignment horizontal="center"/>
    </xf>
    <xf numFmtId="0" fontId="3" fillId="2" borderId="2" xfId="0" applyFont="1" applyFill="1" applyBorder="1" applyAlignment="1" applyProtection="1">
      <alignment horizontal="center"/>
      <protection locked="0"/>
    </xf>
    <xf numFmtId="0" fontId="3" fillId="2" borderId="2" xfId="0" applyFont="1" applyFill="1" applyBorder="1" applyAlignment="1" applyProtection="1">
      <alignment horizontal="center" vertical="center"/>
      <protection locked="0"/>
    </xf>
    <xf numFmtId="0" fontId="3" fillId="2" borderId="2" xfId="0" applyFont="1" applyFill="1" applyBorder="1" applyAlignment="1" applyProtection="1">
      <alignment horizontal="left"/>
      <protection locked="0"/>
    </xf>
    <xf numFmtId="0" fontId="3" fillId="2" borderId="3" xfId="0" applyFont="1" applyFill="1" applyBorder="1" applyProtection="1">
      <protection locked="0"/>
    </xf>
    <xf numFmtId="0" fontId="3" fillId="2" borderId="4" xfId="0" applyFont="1" applyFill="1" applyBorder="1" applyAlignment="1">
      <alignment horizontal="center"/>
    </xf>
    <xf numFmtId="14" fontId="3" fillId="2" borderId="3" xfId="0" applyNumberFormat="1" applyFont="1" applyFill="1" applyBorder="1" applyAlignment="1">
      <alignment horizontal="center" vertical="center"/>
    </xf>
    <xf numFmtId="0" fontId="3" fillId="2" borderId="0" xfId="0" applyFont="1" applyFill="1" applyProtection="1">
      <protection locked="0"/>
    </xf>
    <xf numFmtId="0" fontId="13" fillId="2" borderId="0" xfId="0" applyFont="1" applyFill="1"/>
    <xf numFmtId="44" fontId="14" fillId="2" borderId="0" xfId="0" applyNumberFormat="1" applyFont="1" applyFill="1"/>
    <xf numFmtId="44" fontId="14" fillId="0" borderId="0" xfId="0" applyNumberFormat="1" applyFont="1"/>
    <xf numFmtId="14" fontId="3" fillId="2" borderId="2" xfId="0" applyNumberFormat="1" applyFont="1" applyFill="1" applyBorder="1" applyAlignment="1" applyProtection="1">
      <alignment horizontal="center"/>
      <protection locked="0"/>
    </xf>
    <xf numFmtId="14" fontId="3" fillId="2" borderId="3" xfId="0" applyNumberFormat="1" applyFont="1" applyFill="1" applyBorder="1" applyAlignment="1" applyProtection="1">
      <alignment horizontal="center"/>
      <protection locked="0"/>
    </xf>
    <xf numFmtId="14" fontId="3" fillId="2" borderId="3" xfId="0" applyNumberFormat="1" applyFont="1" applyFill="1" applyBorder="1" applyProtection="1">
      <protection locked="0"/>
    </xf>
    <xf numFmtId="0" fontId="0" fillId="0" borderId="0" xfId="0" applyAlignment="1">
      <alignment horizontal="center" vertical="center"/>
    </xf>
    <xf numFmtId="16" fontId="3" fillId="2" borderId="3" xfId="0" applyNumberFormat="1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/>
    </xf>
    <xf numFmtId="0" fontId="4" fillId="2" borderId="3" xfId="0" applyFont="1" applyFill="1" applyBorder="1"/>
    <xf numFmtId="0" fontId="6" fillId="6" borderId="13" xfId="0" applyFont="1" applyFill="1" applyBorder="1"/>
    <xf numFmtId="0" fontId="0" fillId="2" borderId="0" xfId="0" applyFill="1" applyAlignment="1">
      <alignment horizontal="left"/>
    </xf>
    <xf numFmtId="14" fontId="3" fillId="2" borderId="2" xfId="0" applyNumberFormat="1" applyFont="1" applyFill="1" applyBorder="1" applyProtection="1">
      <protection locked="0"/>
    </xf>
    <xf numFmtId="3" fontId="3" fillId="2" borderId="3" xfId="0" applyNumberFormat="1" applyFont="1" applyFill="1" applyBorder="1" applyAlignment="1" applyProtection="1">
      <alignment horizontal="center" vertical="center"/>
      <protection locked="0"/>
    </xf>
    <xf numFmtId="1" fontId="3" fillId="2" borderId="2" xfId="0" applyNumberFormat="1" applyFont="1" applyFill="1" applyBorder="1" applyAlignment="1" applyProtection="1">
      <alignment horizontal="center" vertical="center"/>
      <protection locked="0"/>
    </xf>
    <xf numFmtId="1" fontId="3" fillId="2" borderId="2" xfId="0" applyNumberFormat="1" applyFont="1" applyFill="1" applyBorder="1" applyAlignment="1" applyProtection="1">
      <alignment horizontal="center"/>
      <protection locked="0"/>
    </xf>
    <xf numFmtId="1" fontId="3" fillId="2" borderId="3" xfId="0" applyNumberFormat="1" applyFont="1" applyFill="1" applyBorder="1" applyAlignment="1" applyProtection="1">
      <alignment horizontal="center" vertical="center"/>
      <protection locked="0"/>
    </xf>
    <xf numFmtId="1" fontId="3" fillId="2" borderId="3" xfId="0" applyNumberFormat="1" applyFont="1" applyFill="1" applyBorder="1" applyAlignment="1" applyProtection="1">
      <alignment horizontal="center"/>
      <protection locked="0"/>
    </xf>
    <xf numFmtId="0" fontId="3" fillId="2" borderId="2" xfId="0" applyFont="1" applyFill="1" applyBorder="1" applyAlignment="1">
      <alignment horizontal="left"/>
    </xf>
    <xf numFmtId="0" fontId="3" fillId="2" borderId="4" xfId="0" applyFont="1" applyFill="1" applyBorder="1" applyAlignment="1" applyProtection="1">
      <alignment horizontal="left"/>
      <protection locked="0"/>
    </xf>
    <xf numFmtId="0" fontId="6" fillId="7" borderId="13" xfId="0" applyFont="1" applyFill="1" applyBorder="1"/>
    <xf numFmtId="0" fontId="3" fillId="2" borderId="10" xfId="0" applyFont="1" applyFill="1" applyBorder="1" applyAlignment="1" applyProtection="1">
      <alignment horizontal="left"/>
      <protection locked="0"/>
    </xf>
    <xf numFmtId="0" fontId="3" fillId="2" borderId="12" xfId="0" applyFont="1" applyFill="1" applyBorder="1" applyAlignment="1">
      <alignment horizontal="center"/>
    </xf>
    <xf numFmtId="0" fontId="3" fillId="2" borderId="11" xfId="0" applyFont="1" applyFill="1" applyBorder="1" applyAlignment="1" applyProtection="1">
      <alignment horizontal="center"/>
      <protection locked="0"/>
    </xf>
    <xf numFmtId="14" fontId="3" fillId="2" borderId="11" xfId="0" applyNumberFormat="1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/>
    </xf>
    <xf numFmtId="0" fontId="3" fillId="2" borderId="11" xfId="0" applyFont="1" applyFill="1" applyBorder="1" applyProtection="1">
      <protection locked="0"/>
    </xf>
    <xf numFmtId="44" fontId="3" fillId="2" borderId="11" xfId="1" applyFont="1" applyFill="1" applyBorder="1"/>
    <xf numFmtId="0" fontId="14" fillId="3" borderId="14" xfId="0" applyFont="1" applyFill="1" applyBorder="1" applyAlignment="1">
      <alignment horizontal="center" vertical="center" wrapText="1"/>
    </xf>
    <xf numFmtId="0" fontId="14" fillId="3" borderId="15" xfId="0" applyFont="1" applyFill="1" applyBorder="1" applyAlignment="1">
      <alignment horizontal="center" vertical="center" wrapText="1"/>
    </xf>
    <xf numFmtId="0" fontId="14" fillId="3" borderId="16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/>
    </xf>
    <xf numFmtId="0" fontId="14" fillId="2" borderId="0" xfId="0" applyFont="1" applyFill="1"/>
    <xf numFmtId="0" fontId="14" fillId="6" borderId="17" xfId="0" applyFont="1" applyFill="1" applyBorder="1" applyAlignment="1">
      <alignment horizontal="center"/>
    </xf>
    <xf numFmtId="165" fontId="0" fillId="2" borderId="26" xfId="0" applyNumberFormat="1" applyFill="1" applyBorder="1" applyAlignment="1">
      <alignment horizontal="left"/>
    </xf>
    <xf numFmtId="10" fontId="0" fillId="2" borderId="26" xfId="0" applyNumberFormat="1" applyFill="1" applyBorder="1" applyAlignment="1">
      <alignment horizontal="left"/>
    </xf>
    <xf numFmtId="44" fontId="15" fillId="2" borderId="3" xfId="1" applyFont="1" applyFill="1" applyBorder="1"/>
    <xf numFmtId="14" fontId="3" fillId="2" borderId="12" xfId="0" applyNumberFormat="1" applyFont="1" applyFill="1" applyBorder="1" applyAlignment="1">
      <alignment horizontal="center"/>
    </xf>
    <xf numFmtId="0" fontId="3" fillId="2" borderId="11" xfId="0" applyFont="1" applyFill="1" applyBorder="1" applyAlignment="1" applyProtection="1">
      <alignment horizontal="center"/>
      <protection hidden="1"/>
    </xf>
    <xf numFmtId="0" fontId="14" fillId="5" borderId="15" xfId="0" applyFont="1" applyFill="1" applyBorder="1" applyAlignment="1">
      <alignment horizontal="center" vertical="center" wrapText="1"/>
    </xf>
    <xf numFmtId="0" fontId="3" fillId="5" borderId="11" xfId="0" applyFont="1" applyFill="1" applyBorder="1" applyAlignment="1" applyProtection="1">
      <alignment horizontal="center"/>
      <protection hidden="1"/>
    </xf>
    <xf numFmtId="0" fontId="3" fillId="8" borderId="11" xfId="0" applyFont="1" applyFill="1" applyBorder="1" applyAlignment="1" applyProtection="1">
      <alignment horizontal="center"/>
      <protection hidden="1"/>
    </xf>
    <xf numFmtId="44" fontId="3" fillId="5" borderId="11" xfId="1" applyFont="1" applyFill="1" applyBorder="1"/>
    <xf numFmtId="0" fontId="14" fillId="6" borderId="15" xfId="0" applyFont="1" applyFill="1" applyBorder="1" applyAlignment="1">
      <alignment horizontal="center"/>
    </xf>
    <xf numFmtId="0" fontId="9" fillId="7" borderId="3" xfId="0" applyFont="1" applyFill="1" applyBorder="1" applyAlignment="1">
      <alignment horizontal="center" vertical="center" wrapText="1"/>
    </xf>
    <xf numFmtId="44" fontId="9" fillId="2" borderId="3" xfId="1" applyFont="1" applyFill="1" applyBorder="1" applyAlignment="1">
      <alignment horizontal="center"/>
    </xf>
    <xf numFmtId="44" fontId="6" fillId="0" borderId="3" xfId="0" applyNumberFormat="1" applyFont="1" applyBorder="1" applyAlignment="1">
      <alignment horizontal="center"/>
    </xf>
    <xf numFmtId="44" fontId="3" fillId="2" borderId="4" xfId="1" applyFont="1" applyFill="1" applyBorder="1" applyAlignment="1">
      <alignment horizontal="center"/>
    </xf>
    <xf numFmtId="44" fontId="3" fillId="2" borderId="9" xfId="1" applyFont="1" applyFill="1" applyBorder="1" applyAlignment="1">
      <alignment horizontal="center"/>
    </xf>
    <xf numFmtId="44" fontId="3" fillId="2" borderId="3" xfId="1" applyFont="1" applyFill="1" applyBorder="1" applyAlignment="1">
      <alignment horizontal="center"/>
    </xf>
    <xf numFmtId="165" fontId="4" fillId="2" borderId="13" xfId="0" applyNumberFormat="1" applyFont="1" applyFill="1" applyBorder="1"/>
    <xf numFmtId="0" fontId="14" fillId="7" borderId="34" xfId="0" applyFont="1" applyFill="1" applyBorder="1"/>
    <xf numFmtId="165" fontId="4" fillId="2" borderId="33" xfId="0" applyNumberFormat="1" applyFont="1" applyFill="1" applyBorder="1"/>
    <xf numFmtId="0" fontId="4" fillId="0" borderId="0" xfId="0" applyFont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16" fontId="3" fillId="2" borderId="11" xfId="0" applyNumberFormat="1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center"/>
    </xf>
    <xf numFmtId="44" fontId="4" fillId="2" borderId="11" xfId="0" applyNumberFormat="1" applyFont="1" applyFill="1" applyBorder="1"/>
    <xf numFmtId="0" fontId="14" fillId="3" borderId="13" xfId="0" applyFont="1" applyFill="1" applyBorder="1" applyAlignment="1">
      <alignment horizontal="center" vertical="center" wrapText="1"/>
    </xf>
    <xf numFmtId="44" fontId="2" fillId="4" borderId="13" xfId="1" applyFont="1" applyFill="1" applyBorder="1" applyAlignment="1">
      <alignment horizontal="center" vertical="center" wrapText="1"/>
    </xf>
    <xf numFmtId="0" fontId="3" fillId="2" borderId="38" xfId="0" applyFont="1" applyFill="1" applyBorder="1" applyAlignment="1" applyProtection="1">
      <alignment horizontal="left"/>
      <protection locked="0"/>
    </xf>
    <xf numFmtId="0" fontId="3" fillId="2" borderId="4" xfId="1" applyNumberFormat="1" applyFont="1" applyFill="1" applyBorder="1" applyAlignment="1">
      <alignment horizontal="center"/>
    </xf>
    <xf numFmtId="0" fontId="14" fillId="7" borderId="3" xfId="0" applyFont="1" applyFill="1" applyBorder="1" applyAlignment="1">
      <alignment horizontal="center" vertical="center"/>
    </xf>
    <xf numFmtId="0" fontId="3" fillId="2" borderId="9" xfId="1" applyNumberFormat="1" applyFont="1" applyFill="1" applyBorder="1" applyAlignment="1">
      <alignment horizontal="center"/>
    </xf>
    <xf numFmtId="44" fontId="11" fillId="2" borderId="9" xfId="1" applyFont="1" applyFill="1" applyBorder="1"/>
    <xf numFmtId="0" fontId="6" fillId="0" borderId="39" xfId="0" applyFont="1" applyBorder="1"/>
    <xf numFmtId="44" fontId="6" fillId="0" borderId="39" xfId="0" applyNumberFormat="1" applyFont="1" applyBorder="1" applyAlignment="1">
      <alignment horizontal="right"/>
    </xf>
    <xf numFmtId="0" fontId="6" fillId="7" borderId="14" xfId="0" applyFont="1" applyFill="1" applyBorder="1"/>
    <xf numFmtId="0" fontId="3" fillId="2" borderId="11" xfId="0" applyFont="1" applyFill="1" applyBorder="1" applyAlignment="1" applyProtection="1">
      <alignment horizontal="left"/>
      <protection locked="0"/>
    </xf>
    <xf numFmtId="14" fontId="3" fillId="2" borderId="0" xfId="0" applyNumberFormat="1" applyFont="1" applyFill="1" applyAlignment="1">
      <alignment horizontal="center" vertical="center"/>
    </xf>
    <xf numFmtId="0" fontId="13" fillId="0" borderId="0" xfId="0" applyFont="1"/>
    <xf numFmtId="0" fontId="12" fillId="6" borderId="1" xfId="0" applyFont="1" applyFill="1" applyBorder="1" applyAlignment="1">
      <alignment horizontal="center" vertical="center" wrapText="1"/>
    </xf>
    <xf numFmtId="0" fontId="0" fillId="2" borderId="14" xfId="0" applyFill="1" applyBorder="1" applyAlignment="1">
      <alignment horizontal="left"/>
    </xf>
    <xf numFmtId="0" fontId="0" fillId="2" borderId="15" xfId="0" applyFill="1" applyBorder="1" applyAlignment="1">
      <alignment horizontal="left"/>
    </xf>
    <xf numFmtId="0" fontId="0" fillId="2" borderId="16" xfId="0" applyFill="1" applyBorder="1" applyAlignment="1">
      <alignment horizontal="left"/>
    </xf>
    <xf numFmtId="0" fontId="14" fillId="6" borderId="19" xfId="0" applyFont="1" applyFill="1" applyBorder="1" applyAlignment="1">
      <alignment horizontal="center"/>
    </xf>
    <xf numFmtId="0" fontId="14" fillId="6" borderId="20" xfId="0" applyFont="1" applyFill="1" applyBorder="1" applyAlignment="1">
      <alignment horizontal="center"/>
    </xf>
    <xf numFmtId="0" fontId="14" fillId="6" borderId="21" xfId="0" applyFont="1" applyFill="1" applyBorder="1" applyAlignment="1">
      <alignment horizontal="center"/>
    </xf>
    <xf numFmtId="0" fontId="14" fillId="6" borderId="22" xfId="0" applyFont="1" applyFill="1" applyBorder="1" applyAlignment="1">
      <alignment horizontal="center"/>
    </xf>
    <xf numFmtId="0" fontId="14" fillId="6" borderId="17" xfId="0" applyFont="1" applyFill="1" applyBorder="1" applyAlignment="1">
      <alignment horizontal="center"/>
    </xf>
    <xf numFmtId="0" fontId="6" fillId="7" borderId="14" xfId="0" applyFont="1" applyFill="1" applyBorder="1" applyAlignment="1">
      <alignment horizontal="left"/>
    </xf>
    <xf numFmtId="0" fontId="6" fillId="7" borderId="15" xfId="0" applyFont="1" applyFill="1" applyBorder="1" applyAlignment="1">
      <alignment horizontal="left"/>
    </xf>
    <xf numFmtId="0" fontId="6" fillId="7" borderId="16" xfId="0" applyFont="1" applyFill="1" applyBorder="1" applyAlignment="1">
      <alignment horizontal="left"/>
    </xf>
    <xf numFmtId="0" fontId="14" fillId="6" borderId="14" xfId="0" applyFont="1" applyFill="1" applyBorder="1" applyAlignment="1">
      <alignment horizontal="center"/>
    </xf>
    <xf numFmtId="0" fontId="14" fillId="6" borderId="15" xfId="0" applyFont="1" applyFill="1" applyBorder="1" applyAlignment="1">
      <alignment horizontal="center"/>
    </xf>
    <xf numFmtId="0" fontId="14" fillId="6" borderId="16" xfId="0" applyFont="1" applyFill="1" applyBorder="1" applyAlignment="1">
      <alignment horizontal="center"/>
    </xf>
    <xf numFmtId="0" fontId="6" fillId="7" borderId="14" xfId="0" applyFont="1" applyFill="1" applyBorder="1" applyAlignment="1">
      <alignment horizontal="center"/>
    </xf>
    <xf numFmtId="0" fontId="6" fillId="7" borderId="15" xfId="0" applyFont="1" applyFill="1" applyBorder="1" applyAlignment="1">
      <alignment horizontal="center"/>
    </xf>
    <xf numFmtId="0" fontId="6" fillId="7" borderId="16" xfId="0" applyFont="1" applyFill="1" applyBorder="1" applyAlignment="1">
      <alignment horizontal="center"/>
    </xf>
    <xf numFmtId="0" fontId="9" fillId="7" borderId="27" xfId="0" applyFont="1" applyFill="1" applyBorder="1" applyAlignment="1">
      <alignment horizontal="center" vertical="center" wrapText="1"/>
    </xf>
    <xf numFmtId="0" fontId="9" fillId="7" borderId="29" xfId="0" applyFont="1" applyFill="1" applyBorder="1" applyAlignment="1">
      <alignment horizontal="center" vertical="center" wrapText="1"/>
    </xf>
    <xf numFmtId="0" fontId="9" fillId="7" borderId="28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left"/>
    </xf>
    <xf numFmtId="0" fontId="3" fillId="2" borderId="30" xfId="0" applyFont="1" applyFill="1" applyBorder="1" applyAlignment="1">
      <alignment horizontal="left"/>
    </xf>
    <xf numFmtId="0" fontId="3" fillId="2" borderId="8" xfId="0" applyFont="1" applyFill="1" applyBorder="1" applyAlignment="1">
      <alignment horizontal="left"/>
    </xf>
    <xf numFmtId="0" fontId="10" fillId="3" borderId="1" xfId="0" applyFont="1" applyFill="1" applyBorder="1" applyAlignment="1">
      <alignment horizontal="center" wrapText="1"/>
    </xf>
    <xf numFmtId="0" fontId="3" fillId="2" borderId="6" xfId="1" applyNumberFormat="1" applyFont="1" applyFill="1" applyBorder="1" applyAlignment="1">
      <alignment horizontal="left"/>
    </xf>
    <xf numFmtId="0" fontId="3" fillId="2" borderId="30" xfId="1" applyNumberFormat="1" applyFont="1" applyFill="1" applyBorder="1" applyAlignment="1">
      <alignment horizontal="left"/>
    </xf>
    <xf numFmtId="0" fontId="3" fillId="2" borderId="8" xfId="1" applyNumberFormat="1" applyFont="1" applyFill="1" applyBorder="1" applyAlignment="1">
      <alignment horizontal="left"/>
    </xf>
    <xf numFmtId="0" fontId="4" fillId="2" borderId="25" xfId="0" applyFont="1" applyFill="1" applyBorder="1" applyAlignment="1">
      <alignment horizontal="left"/>
    </xf>
    <xf numFmtId="0" fontId="4" fillId="2" borderId="15" xfId="0" applyFont="1" applyFill="1" applyBorder="1" applyAlignment="1">
      <alignment horizontal="left"/>
    </xf>
    <xf numFmtId="0" fontId="4" fillId="2" borderId="16" xfId="0" applyFont="1" applyFill="1" applyBorder="1" applyAlignment="1">
      <alignment horizontal="left"/>
    </xf>
    <xf numFmtId="0" fontId="14" fillId="3" borderId="13" xfId="0" applyFont="1" applyFill="1" applyBorder="1" applyAlignment="1">
      <alignment horizontal="center" vertical="center" wrapText="1"/>
    </xf>
    <xf numFmtId="164" fontId="5" fillId="4" borderId="13" xfId="1" applyNumberFormat="1" applyFont="1" applyFill="1" applyBorder="1" applyAlignment="1">
      <alignment horizontal="center" vertical="center" wrapText="1"/>
    </xf>
    <xf numFmtId="0" fontId="9" fillId="7" borderId="3" xfId="0" applyFont="1" applyFill="1" applyBorder="1" applyAlignment="1">
      <alignment horizontal="center" vertical="center" wrapText="1"/>
    </xf>
    <xf numFmtId="0" fontId="9" fillId="7" borderId="2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left" vertical="center"/>
    </xf>
    <xf numFmtId="0" fontId="4" fillId="2" borderId="31" xfId="0" applyFont="1" applyFill="1" applyBorder="1" applyAlignment="1">
      <alignment horizontal="left" vertical="center"/>
    </xf>
    <xf numFmtId="0" fontId="14" fillId="7" borderId="35" xfId="0" applyFont="1" applyFill="1" applyBorder="1" applyAlignment="1">
      <alignment horizontal="center" vertical="center"/>
    </xf>
    <xf numFmtId="0" fontId="14" fillId="7" borderId="36" xfId="0" applyFont="1" applyFill="1" applyBorder="1" applyAlignment="1">
      <alignment horizontal="center" vertical="center"/>
    </xf>
    <xf numFmtId="165" fontId="4" fillId="2" borderId="32" xfId="0" applyNumberFormat="1" applyFont="1" applyFill="1" applyBorder="1" applyAlignment="1">
      <alignment horizontal="center" vertical="center"/>
    </xf>
    <xf numFmtId="165" fontId="4" fillId="2" borderId="33" xfId="0" applyNumberFormat="1" applyFont="1" applyFill="1" applyBorder="1" applyAlignment="1">
      <alignment horizontal="center" vertical="center"/>
    </xf>
    <xf numFmtId="0" fontId="4" fillId="2" borderId="37" xfId="0" applyFont="1" applyFill="1" applyBorder="1" applyAlignment="1">
      <alignment horizontal="left" vertical="center"/>
    </xf>
    <xf numFmtId="0" fontId="4" fillId="2" borderId="7" xfId="0" applyFont="1" applyFill="1" applyBorder="1" applyAlignment="1">
      <alignment horizontal="left" vertical="center"/>
    </xf>
    <xf numFmtId="165" fontId="4" fillId="7" borderId="25" xfId="0" applyNumberFormat="1" applyFont="1" applyFill="1" applyBorder="1" applyAlignment="1">
      <alignment horizontal="left"/>
    </xf>
    <xf numFmtId="165" fontId="4" fillId="7" borderId="16" xfId="0" applyNumberFormat="1" applyFont="1" applyFill="1" applyBorder="1" applyAlignment="1">
      <alignment horizontal="left"/>
    </xf>
    <xf numFmtId="165" fontId="4" fillId="7" borderId="22" xfId="0" applyNumberFormat="1" applyFont="1" applyFill="1" applyBorder="1" applyAlignment="1">
      <alignment horizontal="left" vertical="center"/>
    </xf>
    <xf numFmtId="165" fontId="4" fillId="7" borderId="17" xfId="0" applyNumberFormat="1" applyFont="1" applyFill="1" applyBorder="1" applyAlignment="1">
      <alignment horizontal="left" vertical="center"/>
    </xf>
    <xf numFmtId="165" fontId="4" fillId="7" borderId="18" xfId="0" applyNumberFormat="1" applyFont="1" applyFill="1" applyBorder="1" applyAlignment="1">
      <alignment horizontal="left" vertical="center"/>
    </xf>
    <xf numFmtId="165" fontId="4" fillId="7" borderId="23" xfId="0" applyNumberFormat="1" applyFont="1" applyFill="1" applyBorder="1" applyAlignment="1">
      <alignment horizontal="left" vertical="center"/>
    </xf>
    <xf numFmtId="165" fontId="4" fillId="7" borderId="0" xfId="0" applyNumberFormat="1" applyFont="1" applyFill="1" applyAlignment="1">
      <alignment horizontal="left" vertical="center"/>
    </xf>
    <xf numFmtId="165" fontId="4" fillId="7" borderId="24" xfId="0" applyNumberFormat="1" applyFont="1" applyFill="1" applyBorder="1" applyAlignment="1">
      <alignment horizontal="left" vertical="center"/>
    </xf>
    <xf numFmtId="0" fontId="10" fillId="7" borderId="0" xfId="0" applyFont="1" applyFill="1" applyAlignment="1">
      <alignment horizontal="center" vertical="center" wrapText="1"/>
    </xf>
    <xf numFmtId="0" fontId="6" fillId="7" borderId="0" xfId="0" applyFont="1" applyFill="1" applyAlignment="1">
      <alignment horizontal="center"/>
    </xf>
    <xf numFmtId="0" fontId="6" fillId="0" borderId="0" xfId="0" applyFont="1" applyAlignment="1">
      <alignment horizontal="center"/>
    </xf>
    <xf numFmtId="44" fontId="9" fillId="0" borderId="0" xfId="1" applyFont="1" applyFill="1" applyBorder="1" applyAlignment="1">
      <alignment horizontal="center"/>
    </xf>
    <xf numFmtId="0" fontId="0" fillId="0" borderId="13" xfId="0" applyBorder="1" applyAlignment="1">
      <alignment horizontal="left"/>
    </xf>
    <xf numFmtId="7" fontId="11" fillId="0" borderId="13" xfId="1" applyNumberFormat="1" applyFont="1" applyFill="1" applyBorder="1" applyAlignment="1">
      <alignment horizontal="center"/>
    </xf>
    <xf numFmtId="0" fontId="6" fillId="0" borderId="0" xfId="0" applyFont="1" applyAlignment="1">
      <alignment horizontal="left"/>
    </xf>
    <xf numFmtId="0" fontId="6" fillId="7" borderId="13" xfId="0" applyFont="1" applyFill="1" applyBorder="1" applyAlignment="1">
      <alignment horizontal="left"/>
    </xf>
    <xf numFmtId="7" fontId="9" fillId="7" borderId="13" xfId="1" applyNumberFormat="1" applyFont="1" applyFill="1" applyBorder="1" applyAlignment="1">
      <alignment horizontal="center"/>
    </xf>
  </cellXfs>
  <cellStyles count="2">
    <cellStyle name="Moeda" xfId="1" builtinId="4"/>
    <cellStyle name="Normal" xfId="0" builtinId="0"/>
  </cellStyles>
  <dxfs count="8">
    <dxf>
      <font>
        <color rgb="FF9C0006"/>
      </font>
      <fill>
        <patternFill>
          <bgColor rgb="FFFFC7CE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31</xdr:row>
      <xdr:rowOff>0</xdr:rowOff>
    </xdr:from>
    <xdr:to>
      <xdr:col>8</xdr:col>
      <xdr:colOff>619125</xdr:colOff>
      <xdr:row>54</xdr:row>
      <xdr:rowOff>19050</xdr:rowOff>
    </xdr:to>
    <xdr:sp macro="" textlink="">
      <xdr:nvSpPr>
        <xdr:cNvPr id="4109" name="AutoShape 13" descr="image.png">
          <a:extLst>
            <a:ext uri="{FF2B5EF4-FFF2-40B4-BE49-F238E27FC236}">
              <a16:creationId xmlns:a16="http://schemas.microsoft.com/office/drawing/2014/main" id="{00000000-0008-0000-0100-00000D100000}"/>
            </a:ext>
          </a:extLst>
        </xdr:cNvPr>
        <xdr:cNvSpPr>
          <a:spLocks noChangeAspect="1" noChangeArrowheads="1"/>
        </xdr:cNvSpPr>
      </xdr:nvSpPr>
      <xdr:spPr bwMode="auto">
        <a:xfrm>
          <a:off x="2066925" y="6229350"/>
          <a:ext cx="4991100" cy="3743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31</xdr:row>
      <xdr:rowOff>0</xdr:rowOff>
    </xdr:from>
    <xdr:to>
      <xdr:col>7</xdr:col>
      <xdr:colOff>1095375</xdr:colOff>
      <xdr:row>54</xdr:row>
      <xdr:rowOff>19050</xdr:rowOff>
    </xdr:to>
    <xdr:sp macro="" textlink="">
      <xdr:nvSpPr>
        <xdr:cNvPr id="2" name="AutoShape 13" descr="image.pn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>
          <a:spLocks noChangeAspect="1" noChangeArrowheads="1"/>
        </xdr:cNvSpPr>
      </xdr:nvSpPr>
      <xdr:spPr bwMode="auto">
        <a:xfrm>
          <a:off x="2038350" y="5267325"/>
          <a:ext cx="4991100" cy="3743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200026</xdr:colOff>
      <xdr:row>0</xdr:row>
      <xdr:rowOff>0</xdr:rowOff>
    </xdr:from>
    <xdr:to>
      <xdr:col>7</xdr:col>
      <xdr:colOff>695326</xdr:colOff>
      <xdr:row>3</xdr:row>
      <xdr:rowOff>183927</xdr:rowOff>
    </xdr:to>
    <xdr:pic>
      <xdr:nvPicPr>
        <xdr:cNvPr id="4" name="Picture 5" descr="Description: Macintosh HD:Users:lzgranville:Desktop:Untitled.pdf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2826" y="0"/>
          <a:ext cx="495300" cy="75542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M57"/>
  <sheetViews>
    <sheetView showGridLines="0" workbookViewId="0">
      <selection activeCell="C28" sqref="C28"/>
    </sheetView>
  </sheetViews>
  <sheetFormatPr defaultRowHeight="15" x14ac:dyDescent="0.25"/>
  <cols>
    <col min="1" max="1" width="3.42578125" style="21" customWidth="1"/>
    <col min="2" max="2" width="27.5703125" style="1" bestFit="1" customWidth="1"/>
    <col min="3" max="3" width="11.5703125" style="1" customWidth="1"/>
    <col min="4" max="4" width="17.5703125" style="1" customWidth="1"/>
    <col min="5" max="5" width="12.140625" style="1" customWidth="1"/>
    <col min="6" max="6" width="13.140625" style="1" customWidth="1"/>
    <col min="7" max="7" width="15.42578125" style="1" customWidth="1"/>
    <col min="8" max="8" width="33.7109375" style="1" customWidth="1"/>
    <col min="9" max="9" width="23.28515625" style="1" customWidth="1"/>
    <col min="10" max="13" width="9.140625" style="1"/>
  </cols>
  <sheetData>
    <row r="2" spans="1:10" x14ac:dyDescent="0.25">
      <c r="B2" s="31" t="s">
        <v>29</v>
      </c>
      <c r="C2" s="93"/>
      <c r="D2" s="94"/>
      <c r="E2" s="94"/>
      <c r="F2" s="94"/>
      <c r="G2" s="94"/>
      <c r="H2" s="94"/>
      <c r="I2" s="94"/>
      <c r="J2" s="95"/>
    </row>
    <row r="3" spans="1:10" x14ac:dyDescent="0.25">
      <c r="B3" s="31" t="s">
        <v>30</v>
      </c>
      <c r="C3" s="93"/>
      <c r="D3" s="94"/>
      <c r="E3" s="94"/>
      <c r="F3" s="94"/>
      <c r="G3" s="94"/>
      <c r="H3" s="94"/>
      <c r="I3" s="94"/>
      <c r="J3" s="95"/>
    </row>
    <row r="4" spans="1:10" x14ac:dyDescent="0.25">
      <c r="B4" s="31" t="s">
        <v>31</v>
      </c>
      <c r="C4" s="93"/>
      <c r="D4" s="94"/>
      <c r="E4" s="94"/>
      <c r="F4" s="94"/>
      <c r="G4" s="94"/>
      <c r="H4" s="94"/>
      <c r="I4" s="94"/>
      <c r="J4" s="95"/>
    </row>
    <row r="6" spans="1:10" x14ac:dyDescent="0.25">
      <c r="B6" s="92" t="s">
        <v>32</v>
      </c>
      <c r="C6" s="92"/>
      <c r="D6" s="92"/>
      <c r="E6" s="92"/>
      <c r="F6" s="92"/>
      <c r="G6" s="92"/>
      <c r="H6" s="92"/>
      <c r="I6" s="92"/>
      <c r="J6" s="92"/>
    </row>
    <row r="7" spans="1:10" ht="25.5" x14ac:dyDescent="0.25">
      <c r="B7" s="9" t="s">
        <v>0</v>
      </c>
      <c r="C7" s="9" t="s">
        <v>25</v>
      </c>
      <c r="D7" s="9" t="s">
        <v>26</v>
      </c>
      <c r="E7" s="9" t="s">
        <v>27</v>
      </c>
      <c r="F7" s="9" t="s">
        <v>12</v>
      </c>
      <c r="G7" s="9" t="s">
        <v>14</v>
      </c>
      <c r="H7" s="9" t="s">
        <v>4</v>
      </c>
      <c r="I7" s="9" t="s">
        <v>33</v>
      </c>
      <c r="J7" s="9" t="s">
        <v>15</v>
      </c>
    </row>
    <row r="8" spans="1:10" s="1" customFormat="1" x14ac:dyDescent="0.25">
      <c r="A8" s="21">
        <v>1</v>
      </c>
      <c r="B8" s="16"/>
      <c r="C8" s="24"/>
      <c r="D8" s="35"/>
      <c r="E8" s="15"/>
      <c r="F8" s="15"/>
      <c r="G8" s="12"/>
      <c r="H8" s="16"/>
      <c r="I8" s="15"/>
      <c r="J8" s="14"/>
    </row>
    <row r="9" spans="1:10" s="1" customFormat="1" x14ac:dyDescent="0.25">
      <c r="A9" s="21">
        <v>2</v>
      </c>
      <c r="B9" s="16"/>
      <c r="C9" s="24"/>
      <c r="D9" s="35"/>
      <c r="E9" s="15"/>
      <c r="F9" s="15"/>
      <c r="G9" s="12"/>
      <c r="H9" s="16"/>
      <c r="I9" s="15"/>
      <c r="J9" s="14"/>
    </row>
    <row r="10" spans="1:10" s="1" customFormat="1" x14ac:dyDescent="0.25">
      <c r="A10" s="21">
        <v>3</v>
      </c>
      <c r="B10" s="16"/>
      <c r="C10" s="33"/>
      <c r="D10" s="36"/>
      <c r="E10" s="14"/>
      <c r="F10" s="15"/>
      <c r="G10" s="12"/>
      <c r="H10" s="16"/>
      <c r="I10" s="14"/>
      <c r="J10" s="14"/>
    </row>
    <row r="11" spans="1:10" s="1" customFormat="1" x14ac:dyDescent="0.25">
      <c r="A11" s="21">
        <v>4</v>
      </c>
      <c r="B11" s="16"/>
      <c r="C11" s="24"/>
      <c r="D11" s="35"/>
      <c r="E11" s="15"/>
      <c r="F11" s="15"/>
      <c r="G11" s="12"/>
      <c r="H11" s="16"/>
      <c r="I11" s="15"/>
      <c r="J11" s="14"/>
    </row>
    <row r="12" spans="1:10" s="1" customFormat="1" x14ac:dyDescent="0.25">
      <c r="A12" s="21">
        <v>5</v>
      </c>
      <c r="B12" s="16"/>
      <c r="C12" s="24"/>
      <c r="D12" s="35"/>
      <c r="E12" s="15"/>
      <c r="F12" s="15"/>
      <c r="G12" s="12"/>
      <c r="H12" s="16"/>
      <c r="I12" s="15"/>
      <c r="J12" s="14"/>
    </row>
    <row r="13" spans="1:10" s="1" customFormat="1" x14ac:dyDescent="0.25">
      <c r="A13" s="21">
        <v>6</v>
      </c>
      <c r="B13" s="16"/>
      <c r="C13" s="24"/>
      <c r="D13" s="35"/>
      <c r="E13" s="15"/>
      <c r="F13" s="15"/>
      <c r="G13" s="12"/>
      <c r="H13" s="16"/>
      <c r="I13" s="15"/>
      <c r="J13" s="14"/>
    </row>
    <row r="14" spans="1:10" s="1" customFormat="1" x14ac:dyDescent="0.25">
      <c r="A14" s="21">
        <v>7</v>
      </c>
      <c r="B14" s="16"/>
      <c r="C14" s="24"/>
      <c r="D14" s="35"/>
      <c r="E14" s="15"/>
      <c r="F14" s="15"/>
      <c r="G14" s="12"/>
      <c r="H14" s="16"/>
      <c r="I14" s="15"/>
      <c r="J14" s="14"/>
    </row>
    <row r="15" spans="1:10" s="1" customFormat="1" ht="13.5" customHeight="1" x14ac:dyDescent="0.25">
      <c r="A15" s="21">
        <v>8</v>
      </c>
      <c r="B15" s="16"/>
      <c r="C15" s="24"/>
      <c r="D15" s="35"/>
      <c r="E15" s="15"/>
      <c r="F15" s="15"/>
      <c r="G15" s="12"/>
      <c r="H15" s="16"/>
      <c r="I15" s="15"/>
      <c r="J15" s="14"/>
    </row>
    <row r="16" spans="1:10" s="1" customFormat="1" x14ac:dyDescent="0.25">
      <c r="A16" s="21">
        <v>9</v>
      </c>
      <c r="B16" s="16"/>
      <c r="C16" s="33"/>
      <c r="D16" s="36"/>
      <c r="E16" s="14"/>
      <c r="F16" s="15"/>
      <c r="G16" s="12"/>
      <c r="H16" s="16"/>
      <c r="I16" s="14"/>
      <c r="J16" s="14"/>
    </row>
    <row r="17" spans="1:10" s="1" customFormat="1" x14ac:dyDescent="0.25">
      <c r="A17" s="21">
        <v>10</v>
      </c>
      <c r="B17" s="16"/>
      <c r="C17" s="24"/>
      <c r="D17" s="35"/>
      <c r="E17" s="15"/>
      <c r="F17" s="15"/>
      <c r="G17" s="12"/>
      <c r="H17" s="16"/>
      <c r="I17" s="15"/>
      <c r="J17" s="14"/>
    </row>
    <row r="18" spans="1:10" s="1" customFormat="1" x14ac:dyDescent="0.25">
      <c r="A18" s="21">
        <v>11</v>
      </c>
      <c r="B18" s="16"/>
      <c r="C18" s="24"/>
      <c r="D18" s="35"/>
      <c r="E18" s="15"/>
      <c r="F18" s="15"/>
      <c r="G18" s="12"/>
      <c r="H18" s="16"/>
      <c r="I18" s="15"/>
      <c r="J18" s="14"/>
    </row>
    <row r="19" spans="1:10" s="1" customFormat="1" x14ac:dyDescent="0.25">
      <c r="A19" s="21">
        <v>12</v>
      </c>
      <c r="B19" s="16"/>
      <c r="C19" s="24"/>
      <c r="D19" s="35"/>
      <c r="E19" s="15"/>
      <c r="F19" s="15"/>
      <c r="G19" s="12"/>
      <c r="H19" s="16"/>
      <c r="I19" s="15"/>
      <c r="J19" s="14"/>
    </row>
    <row r="20" spans="1:10" s="1" customFormat="1" x14ac:dyDescent="0.25">
      <c r="A20" s="21">
        <v>13</v>
      </c>
      <c r="B20" s="16"/>
      <c r="C20" s="24"/>
      <c r="D20" s="35"/>
      <c r="E20" s="15"/>
      <c r="F20" s="15"/>
      <c r="G20" s="12"/>
      <c r="H20" s="16"/>
      <c r="I20" s="15"/>
      <c r="J20" s="14"/>
    </row>
    <row r="21" spans="1:10" s="1" customFormat="1" x14ac:dyDescent="0.25">
      <c r="A21" s="21">
        <v>14</v>
      </c>
      <c r="B21" s="16"/>
      <c r="C21" s="24"/>
      <c r="D21" s="35"/>
      <c r="E21" s="15"/>
      <c r="F21" s="15"/>
      <c r="G21" s="12"/>
      <c r="H21" s="16"/>
      <c r="I21" s="15"/>
      <c r="J21" s="14"/>
    </row>
    <row r="22" spans="1:10" s="1" customFormat="1" x14ac:dyDescent="0.25">
      <c r="A22" s="21">
        <v>15</v>
      </c>
      <c r="B22" s="16"/>
      <c r="C22" s="25"/>
      <c r="D22" s="35"/>
      <c r="E22" s="34"/>
      <c r="F22" s="15"/>
      <c r="G22" s="12"/>
      <c r="H22" s="16"/>
      <c r="I22" s="15"/>
      <c r="J22" s="12"/>
    </row>
    <row r="23" spans="1:10" x14ac:dyDescent="0.25">
      <c r="A23" s="21">
        <v>16</v>
      </c>
      <c r="B23" s="10"/>
      <c r="C23" s="25"/>
      <c r="D23" s="37"/>
      <c r="E23" s="11"/>
      <c r="F23" s="11"/>
      <c r="G23" s="12"/>
      <c r="H23" s="10"/>
      <c r="I23" s="11"/>
      <c r="J23" s="12"/>
    </row>
    <row r="24" spans="1:10" x14ac:dyDescent="0.25">
      <c r="A24" s="21">
        <v>17</v>
      </c>
      <c r="B24" s="10"/>
      <c r="C24" s="25"/>
      <c r="D24" s="37"/>
      <c r="E24" s="11"/>
      <c r="F24" s="11"/>
      <c r="G24" s="12"/>
      <c r="H24" s="10"/>
      <c r="I24" s="11"/>
      <c r="J24" s="12"/>
    </row>
    <row r="25" spans="1:10" x14ac:dyDescent="0.25">
      <c r="A25" s="21">
        <v>18</v>
      </c>
      <c r="B25" s="10"/>
      <c r="C25" s="26"/>
      <c r="D25" s="38"/>
      <c r="E25" s="12"/>
      <c r="F25" s="11"/>
      <c r="G25" s="12"/>
      <c r="H25" s="10"/>
      <c r="I25" s="12"/>
      <c r="J25" s="12"/>
    </row>
    <row r="26" spans="1:10" x14ac:dyDescent="0.25">
      <c r="A26" s="21">
        <v>19</v>
      </c>
      <c r="B26" s="10"/>
      <c r="C26" s="26"/>
      <c r="D26" s="38"/>
      <c r="E26" s="12"/>
      <c r="F26" s="11"/>
      <c r="G26" s="12"/>
      <c r="H26" s="10"/>
      <c r="I26" s="12"/>
      <c r="J26" s="12"/>
    </row>
    <row r="27" spans="1:10" x14ac:dyDescent="0.25">
      <c r="A27" s="21">
        <v>20</v>
      </c>
      <c r="B27" s="10"/>
      <c r="C27" s="26"/>
      <c r="D27" s="38"/>
      <c r="E27" s="12"/>
      <c r="F27" s="11"/>
      <c r="G27" s="12"/>
      <c r="H27" s="10"/>
      <c r="I27" s="12"/>
      <c r="J27" s="12"/>
    </row>
    <row r="28" spans="1:10" x14ac:dyDescent="0.25">
      <c r="A28" s="21">
        <v>21</v>
      </c>
      <c r="B28" s="10"/>
      <c r="C28" s="26"/>
      <c r="D28" s="38"/>
      <c r="E28" s="12"/>
      <c r="F28" s="11"/>
      <c r="G28" s="12"/>
      <c r="H28" s="10"/>
      <c r="I28" s="12"/>
      <c r="J28" s="12"/>
    </row>
    <row r="29" spans="1:10" x14ac:dyDescent="0.25">
      <c r="A29" s="21">
        <v>22</v>
      </c>
      <c r="B29" s="10"/>
      <c r="C29" s="26"/>
      <c r="D29" s="38"/>
      <c r="E29" s="12"/>
      <c r="F29" s="11"/>
      <c r="G29" s="12"/>
      <c r="H29" s="10"/>
      <c r="I29" s="12"/>
      <c r="J29" s="12"/>
    </row>
    <row r="30" spans="1:10" x14ac:dyDescent="0.25">
      <c r="A30" s="21">
        <v>23</v>
      </c>
      <c r="B30" s="10"/>
      <c r="C30" s="26"/>
      <c r="D30" s="38"/>
      <c r="E30" s="12"/>
      <c r="F30" s="11"/>
      <c r="G30" s="12"/>
      <c r="H30" s="10"/>
      <c r="I30" s="12"/>
      <c r="J30" s="12"/>
    </row>
    <row r="31" spans="1:10" x14ac:dyDescent="0.25">
      <c r="A31" s="21">
        <v>24</v>
      </c>
      <c r="B31" s="10"/>
      <c r="C31" s="26"/>
      <c r="D31" s="38"/>
      <c r="E31" s="12"/>
      <c r="F31" s="11"/>
      <c r="G31" s="12"/>
      <c r="H31" s="10"/>
      <c r="I31" s="12"/>
      <c r="J31" s="12"/>
    </row>
    <row r="32" spans="1:10" x14ac:dyDescent="0.25">
      <c r="A32" s="21">
        <v>25</v>
      </c>
      <c r="B32" s="10"/>
      <c r="C32" s="26"/>
      <c r="D32" s="38"/>
      <c r="E32" s="12"/>
      <c r="F32" s="11"/>
      <c r="G32" s="12"/>
      <c r="H32" s="10"/>
      <c r="I32" s="12"/>
      <c r="J32" s="12"/>
    </row>
    <row r="33" spans="1:10" x14ac:dyDescent="0.25">
      <c r="A33" s="21">
        <v>26</v>
      </c>
      <c r="B33" s="10"/>
      <c r="C33" s="26"/>
      <c r="D33" s="38"/>
      <c r="E33" s="12"/>
      <c r="F33" s="11"/>
      <c r="G33" s="12"/>
      <c r="H33" s="10"/>
      <c r="I33" s="12"/>
      <c r="J33" s="12"/>
    </row>
    <row r="34" spans="1:10" x14ac:dyDescent="0.25">
      <c r="A34" s="21">
        <v>27</v>
      </c>
      <c r="B34" s="10"/>
      <c r="C34" s="26"/>
      <c r="D34" s="38"/>
      <c r="E34" s="12"/>
      <c r="F34" s="11"/>
      <c r="G34" s="12"/>
      <c r="H34" s="10"/>
      <c r="I34" s="12"/>
      <c r="J34" s="12"/>
    </row>
    <row r="35" spans="1:10" x14ac:dyDescent="0.25">
      <c r="A35" s="21">
        <v>28</v>
      </c>
      <c r="B35" s="10"/>
      <c r="C35" s="26"/>
      <c r="D35" s="38"/>
      <c r="E35" s="12"/>
      <c r="F35" s="11"/>
      <c r="G35" s="12"/>
      <c r="H35" s="10"/>
      <c r="I35" s="12"/>
      <c r="J35" s="12"/>
    </row>
    <row r="36" spans="1:10" x14ac:dyDescent="0.25">
      <c r="A36" s="21">
        <v>29</v>
      </c>
      <c r="B36" s="10"/>
      <c r="C36" s="26"/>
      <c r="D36" s="38"/>
      <c r="E36" s="12"/>
      <c r="F36" s="11"/>
      <c r="G36" s="12"/>
      <c r="H36" s="10"/>
      <c r="I36" s="12"/>
      <c r="J36" s="12"/>
    </row>
    <row r="37" spans="1:10" x14ac:dyDescent="0.25">
      <c r="A37" s="21">
        <v>30</v>
      </c>
      <c r="B37" s="10"/>
      <c r="C37" s="26"/>
      <c r="D37" s="38"/>
      <c r="E37" s="12"/>
      <c r="F37" s="11"/>
      <c r="G37" s="12"/>
      <c r="H37" s="10"/>
      <c r="I37" s="12"/>
      <c r="J37" s="12"/>
    </row>
    <row r="38" spans="1:10" x14ac:dyDescent="0.25">
      <c r="A38" s="21">
        <v>31</v>
      </c>
      <c r="B38" s="10"/>
      <c r="C38" s="26"/>
      <c r="D38" s="38"/>
      <c r="E38" s="12"/>
      <c r="F38" s="11"/>
      <c r="G38" s="12"/>
      <c r="H38" s="10"/>
      <c r="I38" s="12"/>
      <c r="J38" s="12"/>
    </row>
    <row r="39" spans="1:10" x14ac:dyDescent="0.25">
      <c r="A39" s="21">
        <v>32</v>
      </c>
      <c r="B39" s="10"/>
      <c r="C39" s="26"/>
      <c r="D39" s="38"/>
      <c r="E39" s="12"/>
      <c r="F39" s="11"/>
      <c r="G39" s="12"/>
      <c r="H39" s="10"/>
      <c r="I39" s="12"/>
      <c r="J39" s="12"/>
    </row>
    <row r="40" spans="1:10" x14ac:dyDescent="0.25">
      <c r="A40" s="21">
        <v>33</v>
      </c>
      <c r="B40" s="10"/>
      <c r="C40" s="26"/>
      <c r="D40" s="38"/>
      <c r="E40" s="12"/>
      <c r="F40" s="11"/>
      <c r="G40" s="12"/>
      <c r="H40" s="10"/>
      <c r="I40" s="12"/>
      <c r="J40" s="12"/>
    </row>
    <row r="41" spans="1:10" x14ac:dyDescent="0.25">
      <c r="A41" s="21">
        <v>34</v>
      </c>
      <c r="B41" s="10"/>
      <c r="C41" s="26"/>
      <c r="D41" s="38"/>
      <c r="E41" s="12"/>
      <c r="F41" s="11"/>
      <c r="G41" s="12"/>
      <c r="H41" s="10"/>
      <c r="I41" s="12"/>
      <c r="J41" s="12"/>
    </row>
    <row r="42" spans="1:10" x14ac:dyDescent="0.25">
      <c r="A42" s="21">
        <v>35</v>
      </c>
      <c r="B42" s="10"/>
      <c r="C42" s="26"/>
      <c r="D42" s="38"/>
      <c r="E42" s="12"/>
      <c r="F42" s="11"/>
      <c r="G42" s="12"/>
      <c r="H42" s="10"/>
      <c r="I42" s="12"/>
      <c r="J42" s="12"/>
    </row>
    <row r="43" spans="1:10" x14ac:dyDescent="0.25">
      <c r="A43" s="21">
        <v>36</v>
      </c>
      <c r="B43" s="10"/>
      <c r="C43" s="26"/>
      <c r="D43" s="38"/>
      <c r="E43" s="12"/>
      <c r="F43" s="11"/>
      <c r="G43" s="12"/>
      <c r="H43" s="10"/>
      <c r="I43" s="12"/>
      <c r="J43" s="12"/>
    </row>
    <row r="44" spans="1:10" x14ac:dyDescent="0.25">
      <c r="A44" s="21">
        <v>37</v>
      </c>
      <c r="B44" s="10"/>
      <c r="C44" s="26"/>
      <c r="D44" s="38"/>
      <c r="E44" s="12"/>
      <c r="F44" s="11"/>
      <c r="G44" s="12"/>
      <c r="H44" s="10"/>
      <c r="I44" s="12"/>
      <c r="J44" s="12"/>
    </row>
    <row r="45" spans="1:10" x14ac:dyDescent="0.25">
      <c r="A45" s="21">
        <v>38</v>
      </c>
      <c r="B45" s="10"/>
      <c r="C45" s="26"/>
      <c r="D45" s="38"/>
      <c r="E45" s="12"/>
      <c r="F45" s="11"/>
      <c r="G45" s="12"/>
      <c r="H45" s="10"/>
      <c r="I45" s="12"/>
      <c r="J45" s="12"/>
    </row>
    <row r="46" spans="1:10" x14ac:dyDescent="0.25">
      <c r="A46" s="21">
        <v>39</v>
      </c>
      <c r="B46" s="10"/>
      <c r="C46" s="26"/>
      <c r="D46" s="38"/>
      <c r="E46" s="12"/>
      <c r="F46" s="11"/>
      <c r="G46" s="12"/>
      <c r="H46" s="10"/>
      <c r="I46" s="12"/>
      <c r="J46" s="12"/>
    </row>
    <row r="47" spans="1:10" x14ac:dyDescent="0.25">
      <c r="A47" s="21">
        <v>40</v>
      </c>
      <c r="B47" s="10"/>
      <c r="C47" s="26"/>
      <c r="D47" s="38"/>
      <c r="E47" s="12"/>
      <c r="F47" s="11"/>
      <c r="G47" s="12"/>
      <c r="H47" s="10"/>
      <c r="I47" s="12"/>
      <c r="J47" s="12"/>
    </row>
    <row r="48" spans="1:10" x14ac:dyDescent="0.25">
      <c r="A48" s="21">
        <v>41</v>
      </c>
      <c r="B48" s="10"/>
      <c r="C48" s="26"/>
      <c r="D48" s="38"/>
      <c r="E48" s="12"/>
      <c r="F48" s="11"/>
      <c r="G48" s="12"/>
      <c r="H48" s="10"/>
      <c r="I48" s="12"/>
      <c r="J48" s="12"/>
    </row>
    <row r="49" spans="1:10" x14ac:dyDescent="0.25">
      <c r="A49" s="21">
        <v>42</v>
      </c>
      <c r="B49" s="10"/>
      <c r="C49" s="26"/>
      <c r="D49" s="38"/>
      <c r="E49" s="12"/>
      <c r="F49" s="11"/>
      <c r="G49" s="12"/>
      <c r="H49" s="10"/>
      <c r="I49" s="12"/>
      <c r="J49" s="12"/>
    </row>
    <row r="50" spans="1:10" x14ac:dyDescent="0.25">
      <c r="A50" s="21">
        <v>43</v>
      </c>
      <c r="B50" s="10"/>
      <c r="C50" s="26"/>
      <c r="D50" s="38"/>
      <c r="E50" s="12"/>
      <c r="F50" s="11"/>
      <c r="G50" s="12"/>
      <c r="H50" s="10"/>
      <c r="I50" s="12"/>
      <c r="J50" s="12"/>
    </row>
    <row r="51" spans="1:10" x14ac:dyDescent="0.25">
      <c r="A51" s="21">
        <v>44</v>
      </c>
      <c r="B51" s="10"/>
      <c r="C51" s="26"/>
      <c r="D51" s="38"/>
      <c r="E51" s="12"/>
      <c r="F51" s="11"/>
      <c r="G51" s="12"/>
      <c r="H51" s="10"/>
      <c r="I51" s="12"/>
      <c r="J51" s="12"/>
    </row>
    <row r="52" spans="1:10" x14ac:dyDescent="0.25">
      <c r="A52" s="21">
        <v>45</v>
      </c>
      <c r="B52" s="10"/>
      <c r="C52" s="26"/>
      <c r="D52" s="38"/>
      <c r="E52" s="12"/>
      <c r="F52" s="11"/>
      <c r="G52" s="12"/>
      <c r="H52" s="10"/>
      <c r="I52" s="12"/>
      <c r="J52" s="12"/>
    </row>
    <row r="53" spans="1:10" x14ac:dyDescent="0.25">
      <c r="A53" s="21">
        <v>46</v>
      </c>
      <c r="B53" s="10"/>
      <c r="C53" s="26"/>
      <c r="D53" s="38"/>
      <c r="E53" s="12"/>
      <c r="F53" s="11"/>
      <c r="G53" s="12"/>
      <c r="H53" s="10"/>
      <c r="I53" s="12"/>
      <c r="J53" s="12"/>
    </row>
    <row r="54" spans="1:10" x14ac:dyDescent="0.25">
      <c r="A54" s="21">
        <v>47</v>
      </c>
      <c r="B54" s="10"/>
      <c r="C54" s="26"/>
      <c r="D54" s="38"/>
      <c r="E54" s="12"/>
      <c r="F54" s="11"/>
      <c r="G54" s="12"/>
      <c r="H54" s="10"/>
      <c r="I54" s="12"/>
      <c r="J54" s="12"/>
    </row>
    <row r="55" spans="1:10" x14ac:dyDescent="0.25">
      <c r="A55" s="21">
        <v>48</v>
      </c>
      <c r="B55" s="10"/>
      <c r="C55" s="26"/>
      <c r="D55" s="38"/>
      <c r="E55" s="12"/>
      <c r="F55" s="11"/>
      <c r="G55" s="12"/>
      <c r="H55" s="10"/>
      <c r="I55" s="12"/>
      <c r="J55" s="12"/>
    </row>
    <row r="56" spans="1:10" x14ac:dyDescent="0.25">
      <c r="A56" s="21">
        <v>49</v>
      </c>
      <c r="B56" s="10"/>
      <c r="C56" s="26"/>
      <c r="D56" s="38"/>
      <c r="E56" s="12"/>
      <c r="F56" s="11"/>
      <c r="G56" s="12"/>
      <c r="H56" s="10"/>
      <c r="I56" s="12"/>
      <c r="J56" s="12"/>
    </row>
    <row r="57" spans="1:10" x14ac:dyDescent="0.25">
      <c r="A57" s="21">
        <v>50</v>
      </c>
      <c r="B57" s="10"/>
      <c r="C57" s="26"/>
      <c r="D57" s="38"/>
      <c r="E57" s="12"/>
      <c r="F57" s="11"/>
      <c r="G57" s="12"/>
      <c r="H57" s="10"/>
      <c r="I57" s="12"/>
      <c r="J57" s="12"/>
    </row>
  </sheetData>
  <sortState xmlns:xlrd2="http://schemas.microsoft.com/office/spreadsheetml/2017/richdata2" ref="B8:J24">
    <sortCondition ref="B8:B24"/>
  </sortState>
  <mergeCells count="4">
    <mergeCell ref="B6:J6"/>
    <mergeCell ref="C2:J2"/>
    <mergeCell ref="C3:J3"/>
    <mergeCell ref="C4:J4"/>
  </mergeCells>
  <conditionalFormatting sqref="B7:J7">
    <cfRule type="expression" dxfId="7" priority="5" stopIfTrue="1">
      <formula>MOD(ROW(),2) = 0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111"/>
  <sheetViews>
    <sheetView showGridLines="0" topLeftCell="A32" workbookViewId="0">
      <selection activeCell="B19" sqref="B19"/>
    </sheetView>
  </sheetViews>
  <sheetFormatPr defaultColWidth="9.140625" defaultRowHeight="12.75" x14ac:dyDescent="0.2"/>
  <cols>
    <col min="1" max="1" width="3" style="2" bestFit="1" customWidth="1"/>
    <col min="2" max="2" width="27.5703125" style="5" bestFit="1" customWidth="1"/>
    <col min="3" max="3" width="10.5703125" style="5" bestFit="1" customWidth="1"/>
    <col min="4" max="4" width="8" style="5" bestFit="1" customWidth="1"/>
    <col min="5" max="5" width="12.42578125" style="5" customWidth="1"/>
    <col min="6" max="6" width="15.7109375" style="5" customWidth="1"/>
    <col min="7" max="7" width="9.140625" style="5" bestFit="1" customWidth="1"/>
    <col min="8" max="8" width="9.7109375" style="5" bestFit="1" customWidth="1"/>
    <col min="9" max="9" width="44.85546875" style="5" customWidth="1"/>
    <col min="10" max="10" width="12.42578125" style="5" customWidth="1"/>
    <col min="11" max="11" width="9.140625" style="5" customWidth="1"/>
    <col min="12" max="12" width="9.7109375" style="5" customWidth="1"/>
    <col min="13" max="13" width="44.7109375" style="5" customWidth="1"/>
    <col min="14" max="15" width="13.85546875" style="5" customWidth="1"/>
    <col min="16" max="16" width="24.85546875" style="5" bestFit="1" customWidth="1"/>
    <col min="17" max="23" width="9.140625" style="5"/>
    <col min="24" max="16384" width="9.140625" style="2"/>
  </cols>
  <sheetData>
    <row r="1" spans="1:16" ht="15" x14ac:dyDescent="0.25">
      <c r="B1" s="41" t="s">
        <v>29</v>
      </c>
      <c r="C1" s="93">
        <f>'Dados Gerais'!C2:J2</f>
        <v>0</v>
      </c>
      <c r="D1" s="94"/>
      <c r="E1" s="94"/>
      <c r="F1" s="94"/>
      <c r="G1" s="94"/>
      <c r="H1" s="94"/>
      <c r="I1" s="94"/>
      <c r="J1" s="101" t="s">
        <v>42</v>
      </c>
      <c r="K1" s="102"/>
      <c r="L1" s="103"/>
      <c r="M1" s="55">
        <f>O57</f>
        <v>0</v>
      </c>
      <c r="N1" s="2"/>
      <c r="O1" s="2"/>
      <c r="P1" s="2"/>
    </row>
    <row r="2" spans="1:16" ht="15" x14ac:dyDescent="0.25">
      <c r="B2" s="41" t="s">
        <v>30</v>
      </c>
      <c r="C2" s="93">
        <f>'Dados Gerais'!C3:J3</f>
        <v>0</v>
      </c>
      <c r="D2" s="94"/>
      <c r="E2" s="94"/>
      <c r="F2" s="94"/>
      <c r="G2" s="94"/>
      <c r="H2" s="94"/>
      <c r="I2" s="94"/>
      <c r="J2" s="101" t="s">
        <v>43</v>
      </c>
      <c r="K2" s="102"/>
      <c r="L2" s="103"/>
      <c r="M2" s="55">
        <f>N57</f>
        <v>0</v>
      </c>
      <c r="N2" s="2"/>
      <c r="O2" s="2"/>
      <c r="P2" s="2"/>
    </row>
    <row r="3" spans="1:16" ht="15" x14ac:dyDescent="0.25">
      <c r="B3" s="41" t="s">
        <v>31</v>
      </c>
      <c r="C3" s="93">
        <f>'Dados Gerais'!C4:J4</f>
        <v>0</v>
      </c>
      <c r="D3" s="94"/>
      <c r="E3" s="94"/>
      <c r="F3" s="94"/>
      <c r="G3" s="94"/>
      <c r="H3" s="94"/>
      <c r="I3" s="94"/>
      <c r="J3" s="101" t="s">
        <v>46</v>
      </c>
      <c r="K3" s="102"/>
      <c r="L3" s="103"/>
      <c r="M3" s="56" t="e">
        <f>((M2-M1)/M2)</f>
        <v>#DIV/0!</v>
      </c>
      <c r="N3" s="2"/>
      <c r="O3" s="2"/>
      <c r="P3" s="2"/>
    </row>
    <row r="5" spans="1:16" x14ac:dyDescent="0.2">
      <c r="B5" s="96" t="s">
        <v>35</v>
      </c>
      <c r="C5" s="97"/>
      <c r="D5" s="98"/>
      <c r="E5" s="99" t="s">
        <v>39</v>
      </c>
      <c r="F5" s="100"/>
      <c r="G5" s="100"/>
      <c r="H5" s="100"/>
      <c r="I5" s="100"/>
      <c r="J5" s="104" t="s">
        <v>44</v>
      </c>
      <c r="K5" s="105"/>
      <c r="L5" s="105"/>
      <c r="M5" s="106"/>
      <c r="N5" s="104" t="s">
        <v>45</v>
      </c>
      <c r="O5" s="105"/>
      <c r="P5" s="105"/>
    </row>
    <row r="6" spans="1:16" s="5" customFormat="1" ht="25.5" x14ac:dyDescent="0.2">
      <c r="B6" s="49" t="s">
        <v>34</v>
      </c>
      <c r="C6" s="50" t="s">
        <v>14</v>
      </c>
      <c r="D6" s="50" t="s">
        <v>15</v>
      </c>
      <c r="E6" s="50" t="s">
        <v>16</v>
      </c>
      <c r="F6" s="50" t="s">
        <v>5</v>
      </c>
      <c r="G6" s="50" t="s">
        <v>17</v>
      </c>
      <c r="H6" s="50" t="s">
        <v>38</v>
      </c>
      <c r="I6" s="50" t="s">
        <v>37</v>
      </c>
      <c r="J6" s="50" t="s">
        <v>18</v>
      </c>
      <c r="K6" s="50" t="s">
        <v>17</v>
      </c>
      <c r="L6" s="50" t="s">
        <v>38</v>
      </c>
      <c r="M6" s="50" t="s">
        <v>37</v>
      </c>
      <c r="N6" s="50" t="s">
        <v>6</v>
      </c>
      <c r="O6" s="50" t="s">
        <v>40</v>
      </c>
      <c r="P6" s="51" t="s">
        <v>36</v>
      </c>
    </row>
    <row r="7" spans="1:16" s="5" customFormat="1" x14ac:dyDescent="0.2">
      <c r="A7" s="5">
        <v>1</v>
      </c>
      <c r="B7" s="42">
        <f>'Dados Gerais'!B8</f>
        <v>0</v>
      </c>
      <c r="C7" s="43">
        <f>'Dados Gerais'!G8</f>
        <v>0</v>
      </c>
      <c r="D7" s="44">
        <f>'Dados Gerais'!J8</f>
        <v>0</v>
      </c>
      <c r="E7" s="45"/>
      <c r="F7" s="43"/>
      <c r="G7" s="46"/>
      <c r="H7" s="46"/>
      <c r="I7" s="47"/>
      <c r="J7" s="45"/>
      <c r="K7" s="45"/>
      <c r="L7" s="45"/>
      <c r="M7" s="47"/>
      <c r="N7" s="48"/>
      <c r="O7" s="48"/>
      <c r="P7" s="48"/>
    </row>
    <row r="8" spans="1:16" s="5" customFormat="1" x14ac:dyDescent="0.2">
      <c r="A8" s="5">
        <v>2</v>
      </c>
      <c r="B8" s="16">
        <f>'Dados Gerais'!B9</f>
        <v>0</v>
      </c>
      <c r="C8" s="18">
        <f>'Dados Gerais'!G9</f>
        <v>0</v>
      </c>
      <c r="D8" s="12">
        <f>'Dados Gerais'!J9</f>
        <v>0</v>
      </c>
      <c r="E8" s="19"/>
      <c r="F8" s="18"/>
      <c r="G8" s="13"/>
      <c r="H8" s="13"/>
      <c r="I8" s="17"/>
      <c r="J8" s="19"/>
      <c r="K8" s="13"/>
      <c r="L8" s="13"/>
      <c r="M8" s="17"/>
      <c r="N8" s="7"/>
      <c r="O8" s="7"/>
      <c r="P8" s="7"/>
    </row>
    <row r="9" spans="1:16" s="5" customFormat="1" x14ac:dyDescent="0.2">
      <c r="A9" s="5">
        <v>3</v>
      </c>
      <c r="B9" s="39">
        <f>'Dados Gerais'!B10</f>
        <v>0</v>
      </c>
      <c r="C9" s="18">
        <f>'Dados Gerais'!G10</f>
        <v>0</v>
      </c>
      <c r="D9" s="12">
        <f>'Dados Gerais'!J10</f>
        <v>0</v>
      </c>
      <c r="E9" s="19"/>
      <c r="F9" s="18"/>
      <c r="G9" s="13"/>
      <c r="H9" s="13"/>
      <c r="I9" s="17"/>
      <c r="J9" s="19"/>
      <c r="K9" s="13"/>
      <c r="L9" s="13"/>
      <c r="M9" s="17"/>
      <c r="N9" s="7"/>
      <c r="O9" s="7"/>
      <c r="P9" s="7"/>
    </row>
    <row r="10" spans="1:16" s="5" customFormat="1" x14ac:dyDescent="0.2">
      <c r="A10" s="5">
        <v>4</v>
      </c>
      <c r="B10" s="16">
        <f>'Dados Gerais'!B11</f>
        <v>0</v>
      </c>
      <c r="C10" s="18">
        <f>'Dados Gerais'!G11</f>
        <v>0</v>
      </c>
      <c r="D10" s="12">
        <f>'Dados Gerais'!J11</f>
        <v>0</v>
      </c>
      <c r="E10" s="19"/>
      <c r="F10" s="18"/>
      <c r="G10" s="13"/>
      <c r="H10" s="13"/>
      <c r="I10" s="17"/>
      <c r="J10" s="19"/>
      <c r="K10" s="13"/>
      <c r="L10" s="13"/>
      <c r="M10" s="17"/>
      <c r="N10" s="7"/>
      <c r="O10" s="7"/>
      <c r="P10" s="7"/>
    </row>
    <row r="11" spans="1:16" s="5" customFormat="1" x14ac:dyDescent="0.2">
      <c r="A11" s="5">
        <v>5</v>
      </c>
      <c r="B11" s="16">
        <f>'Dados Gerais'!B12</f>
        <v>0</v>
      </c>
      <c r="C11" s="18">
        <f>'Dados Gerais'!G12</f>
        <v>0</v>
      </c>
      <c r="D11" s="12">
        <f>'Dados Gerais'!J12</f>
        <v>0</v>
      </c>
      <c r="E11" s="19"/>
      <c r="F11" s="18"/>
      <c r="G11" s="13"/>
      <c r="H11" s="13"/>
      <c r="I11" s="17"/>
      <c r="J11" s="19"/>
      <c r="K11" s="13"/>
      <c r="L11" s="52"/>
      <c r="M11" s="20"/>
      <c r="N11" s="7"/>
      <c r="O11" s="7"/>
      <c r="P11" s="7"/>
    </row>
    <row r="12" spans="1:16" s="5" customFormat="1" x14ac:dyDescent="0.2">
      <c r="A12" s="5">
        <v>6</v>
      </c>
      <c r="B12" s="16">
        <f>'Dados Gerais'!B13</f>
        <v>0</v>
      </c>
      <c r="C12" s="18">
        <f>'Dados Gerais'!G13</f>
        <v>0</v>
      </c>
      <c r="D12" s="12">
        <f>'Dados Gerais'!J13</f>
        <v>0</v>
      </c>
      <c r="E12" s="19"/>
      <c r="F12" s="18"/>
      <c r="G12" s="13"/>
      <c r="H12" s="52"/>
      <c r="I12" s="20"/>
      <c r="J12" s="19"/>
      <c r="K12" s="90"/>
      <c r="L12" s="90"/>
      <c r="M12" s="20"/>
      <c r="N12" s="7"/>
      <c r="O12" s="7"/>
      <c r="P12" s="57"/>
    </row>
    <row r="13" spans="1:16" s="5" customFormat="1" x14ac:dyDescent="0.2">
      <c r="A13" s="5">
        <v>7</v>
      </c>
      <c r="B13" s="16">
        <f>'Dados Gerais'!B14</f>
        <v>0</v>
      </c>
      <c r="C13" s="18">
        <f>'Dados Gerais'!G14</f>
        <v>0</v>
      </c>
      <c r="D13" s="12">
        <f>'Dados Gerais'!J14</f>
        <v>0</v>
      </c>
      <c r="E13" s="19"/>
      <c r="F13" s="18"/>
      <c r="G13" s="13"/>
      <c r="H13" s="13"/>
      <c r="I13" s="17"/>
      <c r="J13" s="19"/>
      <c r="K13" s="13"/>
      <c r="L13" s="13"/>
      <c r="M13" s="17"/>
      <c r="N13" s="7"/>
      <c r="O13" s="7"/>
      <c r="P13" s="7"/>
    </row>
    <row r="14" spans="1:16" s="5" customFormat="1" x14ac:dyDescent="0.2">
      <c r="A14" s="5">
        <v>8</v>
      </c>
      <c r="B14" s="16">
        <f>'Dados Gerais'!B15</f>
        <v>0</v>
      </c>
      <c r="C14" s="18">
        <f>'Dados Gerais'!G15</f>
        <v>0</v>
      </c>
      <c r="D14" s="12">
        <f>'Dados Gerais'!J15</f>
        <v>0</v>
      </c>
      <c r="E14" s="19"/>
      <c r="F14" s="18"/>
      <c r="G14" s="13"/>
      <c r="H14" s="13"/>
      <c r="I14" s="17"/>
      <c r="J14" s="19"/>
      <c r="K14" s="19"/>
      <c r="L14" s="19"/>
      <c r="M14" s="17"/>
      <c r="N14" s="7"/>
      <c r="O14" s="7"/>
      <c r="P14" s="7"/>
    </row>
    <row r="15" spans="1:16" s="5" customFormat="1" x14ac:dyDescent="0.2">
      <c r="A15" s="5">
        <v>9</v>
      </c>
      <c r="B15" s="39">
        <f>'Dados Gerais'!B16</f>
        <v>0</v>
      </c>
      <c r="C15" s="18">
        <f>'Dados Gerais'!G16</f>
        <v>0</v>
      </c>
      <c r="D15" s="12">
        <f>'Dados Gerais'!J16</f>
        <v>0</v>
      </c>
      <c r="E15" s="19"/>
      <c r="F15" s="18"/>
      <c r="G15" s="13"/>
      <c r="H15" s="13"/>
      <c r="I15" s="17"/>
      <c r="J15" s="19"/>
      <c r="K15" s="13"/>
      <c r="L15" s="13"/>
      <c r="M15" s="17"/>
      <c r="N15" s="7"/>
      <c r="O15" s="7"/>
      <c r="P15" s="7"/>
    </row>
    <row r="16" spans="1:16" s="5" customFormat="1" x14ac:dyDescent="0.2">
      <c r="A16" s="5">
        <v>10</v>
      </c>
      <c r="B16" s="16">
        <f>'Dados Gerais'!B17</f>
        <v>0</v>
      </c>
      <c r="C16" s="18">
        <f>'Dados Gerais'!G17</f>
        <v>0</v>
      </c>
      <c r="D16" s="12">
        <f>'Dados Gerais'!J17</f>
        <v>0</v>
      </c>
      <c r="E16" s="19"/>
      <c r="F16" s="18"/>
      <c r="G16" s="13"/>
      <c r="H16" s="13"/>
      <c r="I16" s="17"/>
      <c r="J16" s="19"/>
      <c r="K16" s="13"/>
      <c r="L16" s="13"/>
      <c r="M16" s="30"/>
      <c r="N16" s="7"/>
      <c r="O16" s="7"/>
      <c r="P16" s="7"/>
    </row>
    <row r="17" spans="1:16" s="5" customFormat="1" x14ac:dyDescent="0.2">
      <c r="A17" s="5">
        <v>11</v>
      </c>
      <c r="B17" s="16">
        <f>'Dados Gerais'!B18</f>
        <v>0</v>
      </c>
      <c r="C17" s="18">
        <f>'Dados Gerais'!G18</f>
        <v>0</v>
      </c>
      <c r="D17" s="12">
        <f>'Dados Gerais'!J18</f>
        <v>0</v>
      </c>
      <c r="E17" s="19"/>
      <c r="F17" s="18"/>
      <c r="G17" s="13"/>
      <c r="H17" s="13"/>
      <c r="I17" s="17"/>
      <c r="J17" s="19"/>
      <c r="K17" s="13"/>
      <c r="L17" s="13"/>
      <c r="M17" s="17"/>
      <c r="N17" s="7"/>
      <c r="O17" s="7"/>
      <c r="P17" s="7"/>
    </row>
    <row r="18" spans="1:16" s="5" customFormat="1" x14ac:dyDescent="0.2">
      <c r="A18" s="5">
        <v>12</v>
      </c>
      <c r="B18" s="16">
        <f>'Dados Gerais'!B19</f>
        <v>0</v>
      </c>
      <c r="C18" s="18">
        <f>'Dados Gerais'!G19</f>
        <v>0</v>
      </c>
      <c r="D18" s="12">
        <f>'Dados Gerais'!J19</f>
        <v>0</v>
      </c>
      <c r="E18" s="19"/>
      <c r="F18" s="18"/>
      <c r="G18" s="13"/>
      <c r="H18" s="13"/>
      <c r="I18" s="17"/>
      <c r="J18" s="19"/>
      <c r="K18" s="19"/>
      <c r="L18" s="19"/>
      <c r="M18" s="17"/>
      <c r="N18" s="7"/>
      <c r="O18" s="7"/>
      <c r="P18" s="57"/>
    </row>
    <row r="19" spans="1:16" s="5" customFormat="1" x14ac:dyDescent="0.2">
      <c r="A19" s="5">
        <v>13</v>
      </c>
      <c r="B19" s="16">
        <f>'Dados Gerais'!B20</f>
        <v>0</v>
      </c>
      <c r="C19" s="18">
        <f>'Dados Gerais'!G20</f>
        <v>0</v>
      </c>
      <c r="D19" s="12">
        <f>'Dados Gerais'!J20</f>
        <v>0</v>
      </c>
      <c r="E19" s="19"/>
      <c r="F19" s="18"/>
      <c r="G19" s="13"/>
      <c r="H19" s="13"/>
      <c r="I19" s="17"/>
      <c r="J19" s="19"/>
      <c r="K19" s="13"/>
      <c r="L19" s="13"/>
      <c r="M19" s="17"/>
      <c r="N19" s="7"/>
      <c r="O19" s="7"/>
      <c r="P19" s="7"/>
    </row>
    <row r="20" spans="1:16" s="5" customFormat="1" x14ac:dyDescent="0.2">
      <c r="A20" s="5">
        <v>14</v>
      </c>
      <c r="B20" s="16">
        <f>'Dados Gerais'!B21</f>
        <v>0</v>
      </c>
      <c r="C20" s="18">
        <f>'Dados Gerais'!G21</f>
        <v>0</v>
      </c>
      <c r="D20" s="12">
        <f>'Dados Gerais'!J21</f>
        <v>0</v>
      </c>
      <c r="E20" s="19"/>
      <c r="F20" s="18"/>
      <c r="G20" s="13"/>
      <c r="H20" s="13"/>
      <c r="I20" s="17"/>
      <c r="J20" s="19"/>
      <c r="K20" s="13"/>
      <c r="L20" s="13"/>
      <c r="M20" s="17"/>
      <c r="N20" s="7"/>
      <c r="O20" s="7"/>
      <c r="P20" s="7"/>
    </row>
    <row r="21" spans="1:16" s="5" customFormat="1" x14ac:dyDescent="0.2">
      <c r="A21" s="5">
        <v>15</v>
      </c>
      <c r="B21" s="10">
        <f>'Dados Gerais'!B22</f>
        <v>0</v>
      </c>
      <c r="C21" s="18">
        <f>'Dados Gerais'!G22</f>
        <v>0</v>
      </c>
      <c r="D21" s="12">
        <f>'Dados Gerais'!J22</f>
        <v>0</v>
      </c>
      <c r="E21" s="19"/>
      <c r="F21" s="18"/>
      <c r="G21" s="13"/>
      <c r="H21" s="13"/>
      <c r="I21" s="17"/>
      <c r="J21" s="19"/>
      <c r="K21" s="13"/>
      <c r="L21" s="13"/>
      <c r="M21" s="17"/>
      <c r="N21" s="7"/>
      <c r="O21" s="7"/>
      <c r="P21" s="7"/>
    </row>
    <row r="22" spans="1:16" s="5" customFormat="1" x14ac:dyDescent="0.2">
      <c r="A22" s="5">
        <v>16</v>
      </c>
      <c r="B22" s="40">
        <f>'Dados Gerais'!B23</f>
        <v>0</v>
      </c>
      <c r="C22" s="18">
        <f>'Dados Gerais'!G23</f>
        <v>0</v>
      </c>
      <c r="D22" s="12">
        <f>'Dados Gerais'!J23</f>
        <v>0</v>
      </c>
      <c r="E22" s="19"/>
      <c r="F22" s="18"/>
      <c r="G22" s="13"/>
      <c r="H22" s="13"/>
      <c r="I22" s="30"/>
      <c r="J22" s="19"/>
      <c r="K22" s="13"/>
      <c r="L22" s="13"/>
      <c r="M22" s="30"/>
      <c r="N22" s="7"/>
      <c r="O22" s="7"/>
      <c r="P22" s="7"/>
    </row>
    <row r="23" spans="1:16" s="5" customFormat="1" x14ac:dyDescent="0.2">
      <c r="A23" s="5">
        <v>17</v>
      </c>
      <c r="B23" s="40">
        <f>'Dados Gerais'!B24</f>
        <v>0</v>
      </c>
      <c r="C23" s="18">
        <f>'Dados Gerais'!G24</f>
        <v>0</v>
      </c>
      <c r="D23" s="12">
        <f>'Dados Gerais'!J24</f>
        <v>0</v>
      </c>
      <c r="E23" s="19"/>
      <c r="F23" s="18"/>
      <c r="G23" s="13"/>
      <c r="H23" s="13"/>
      <c r="I23" s="17"/>
      <c r="J23" s="19"/>
      <c r="K23" s="19"/>
      <c r="L23" s="19"/>
      <c r="M23" s="17"/>
      <c r="N23" s="7"/>
      <c r="O23" s="7"/>
      <c r="P23" s="7"/>
    </row>
    <row r="24" spans="1:16" s="5" customFormat="1" x14ac:dyDescent="0.2">
      <c r="A24" s="5">
        <v>18</v>
      </c>
      <c r="B24" s="40">
        <f>'Dados Gerais'!B25</f>
        <v>0</v>
      </c>
      <c r="C24" s="18">
        <f>'Dados Gerais'!G25</f>
        <v>0</v>
      </c>
      <c r="D24" s="12">
        <f>'Dados Gerais'!J25</f>
        <v>0</v>
      </c>
      <c r="E24" s="19"/>
      <c r="F24" s="18"/>
      <c r="G24" s="13"/>
      <c r="H24" s="13"/>
      <c r="I24" s="17"/>
      <c r="J24" s="19"/>
      <c r="K24" s="19"/>
      <c r="L24" s="19"/>
      <c r="M24" s="17"/>
      <c r="N24" s="7"/>
      <c r="O24" s="7"/>
      <c r="P24" s="7"/>
    </row>
    <row r="25" spans="1:16" s="5" customFormat="1" x14ac:dyDescent="0.2">
      <c r="A25" s="5">
        <v>19</v>
      </c>
      <c r="B25" s="40">
        <f>'Dados Gerais'!B26</f>
        <v>0</v>
      </c>
      <c r="C25" s="18">
        <f>'Dados Gerais'!G26</f>
        <v>0</v>
      </c>
      <c r="D25" s="12">
        <f>'Dados Gerais'!J26</f>
        <v>0</v>
      </c>
      <c r="E25" s="19"/>
      <c r="F25" s="18"/>
      <c r="G25" s="13"/>
      <c r="H25" s="13"/>
      <c r="I25" s="17"/>
      <c r="J25" s="19"/>
      <c r="K25" s="19"/>
      <c r="L25" s="19"/>
      <c r="M25" s="17"/>
      <c r="N25" s="7"/>
      <c r="O25" s="7"/>
      <c r="P25" s="7"/>
    </row>
    <row r="26" spans="1:16" s="5" customFormat="1" x14ac:dyDescent="0.2">
      <c r="A26" s="5">
        <v>20</v>
      </c>
      <c r="B26" s="40">
        <f>'Dados Gerais'!B27</f>
        <v>0</v>
      </c>
      <c r="C26" s="18">
        <f>'Dados Gerais'!G27</f>
        <v>0</v>
      </c>
      <c r="D26" s="12">
        <f>'Dados Gerais'!J27</f>
        <v>0</v>
      </c>
      <c r="E26" s="19"/>
      <c r="F26" s="18"/>
      <c r="G26" s="13"/>
      <c r="H26" s="13"/>
      <c r="I26" s="17"/>
      <c r="J26" s="19"/>
      <c r="K26" s="19"/>
      <c r="L26" s="19"/>
      <c r="M26" s="17"/>
      <c r="N26" s="7"/>
      <c r="O26" s="7"/>
      <c r="P26" s="7"/>
    </row>
    <row r="27" spans="1:16" s="5" customFormat="1" x14ac:dyDescent="0.2">
      <c r="A27" s="5">
        <v>21</v>
      </c>
      <c r="B27" s="40">
        <f>'Dados Gerais'!B28</f>
        <v>0</v>
      </c>
      <c r="C27" s="18">
        <f>'Dados Gerais'!G28</f>
        <v>0</v>
      </c>
      <c r="D27" s="12">
        <f>'Dados Gerais'!J28</f>
        <v>0</v>
      </c>
      <c r="E27" s="19"/>
      <c r="F27" s="18"/>
      <c r="G27" s="13"/>
      <c r="H27" s="13"/>
      <c r="I27" s="17"/>
      <c r="J27" s="19"/>
      <c r="K27" s="19"/>
      <c r="L27" s="19"/>
      <c r="M27" s="17"/>
      <c r="N27" s="7"/>
      <c r="O27" s="7"/>
      <c r="P27" s="7"/>
    </row>
    <row r="28" spans="1:16" s="5" customFormat="1" x14ac:dyDescent="0.2">
      <c r="A28" s="5">
        <v>22</v>
      </c>
      <c r="B28" s="40">
        <f>'Dados Gerais'!B29</f>
        <v>0</v>
      </c>
      <c r="C28" s="18">
        <f>'Dados Gerais'!G29</f>
        <v>0</v>
      </c>
      <c r="D28" s="12">
        <f>'Dados Gerais'!J29</f>
        <v>0</v>
      </c>
      <c r="E28" s="19"/>
      <c r="F28" s="18"/>
      <c r="G28" s="13"/>
      <c r="H28" s="13"/>
      <c r="I28" s="17"/>
      <c r="J28" s="19"/>
      <c r="K28" s="19"/>
      <c r="L28" s="19"/>
      <c r="M28" s="17"/>
      <c r="N28" s="7"/>
      <c r="O28" s="7"/>
      <c r="P28" s="7"/>
    </row>
    <row r="29" spans="1:16" s="5" customFormat="1" x14ac:dyDescent="0.2">
      <c r="A29" s="5">
        <v>23</v>
      </c>
      <c r="B29" s="40">
        <f>'Dados Gerais'!B30</f>
        <v>0</v>
      </c>
      <c r="C29" s="18">
        <f>'Dados Gerais'!G30</f>
        <v>0</v>
      </c>
      <c r="D29" s="12">
        <f>'Dados Gerais'!J30</f>
        <v>0</v>
      </c>
      <c r="E29" s="19"/>
      <c r="F29" s="18"/>
      <c r="G29" s="13"/>
      <c r="H29" s="13"/>
      <c r="I29" s="17"/>
      <c r="J29" s="19"/>
      <c r="K29" s="19"/>
      <c r="L29" s="19"/>
      <c r="M29" s="17"/>
      <c r="N29" s="7"/>
      <c r="O29" s="7"/>
      <c r="P29" s="7"/>
    </row>
    <row r="30" spans="1:16" s="5" customFormat="1" x14ac:dyDescent="0.2">
      <c r="A30" s="5">
        <v>24</v>
      </c>
      <c r="B30" s="40">
        <f>'Dados Gerais'!B31</f>
        <v>0</v>
      </c>
      <c r="C30" s="18">
        <f>'Dados Gerais'!G31</f>
        <v>0</v>
      </c>
      <c r="D30" s="12">
        <f>'Dados Gerais'!J31</f>
        <v>0</v>
      </c>
      <c r="E30" s="19"/>
      <c r="F30" s="18"/>
      <c r="G30" s="13"/>
      <c r="H30" s="13"/>
      <c r="I30" s="17"/>
      <c r="J30" s="19"/>
      <c r="K30" s="19"/>
      <c r="L30" s="19"/>
      <c r="M30" s="17"/>
      <c r="N30" s="7"/>
      <c r="O30" s="7"/>
      <c r="P30" s="7"/>
    </row>
    <row r="31" spans="1:16" s="5" customFormat="1" x14ac:dyDescent="0.2">
      <c r="A31" s="5">
        <v>25</v>
      </c>
      <c r="B31" s="40">
        <f>'Dados Gerais'!B32</f>
        <v>0</v>
      </c>
      <c r="C31" s="18">
        <f>'Dados Gerais'!G32</f>
        <v>0</v>
      </c>
      <c r="D31" s="12">
        <f>'Dados Gerais'!J32</f>
        <v>0</v>
      </c>
      <c r="E31" s="19"/>
      <c r="F31" s="18"/>
      <c r="G31" s="13"/>
      <c r="H31" s="13"/>
      <c r="I31" s="17"/>
      <c r="J31" s="19"/>
      <c r="K31" s="19"/>
      <c r="L31" s="19"/>
      <c r="M31" s="17"/>
      <c r="N31" s="7"/>
      <c r="O31" s="7"/>
      <c r="P31" s="7"/>
    </row>
    <row r="32" spans="1:16" s="5" customFormat="1" x14ac:dyDescent="0.2">
      <c r="A32" s="5">
        <v>26</v>
      </c>
      <c r="B32" s="40">
        <f>'Dados Gerais'!B33</f>
        <v>0</v>
      </c>
      <c r="C32" s="18">
        <f>'Dados Gerais'!G33</f>
        <v>0</v>
      </c>
      <c r="D32" s="12">
        <f>'Dados Gerais'!J33</f>
        <v>0</v>
      </c>
      <c r="E32" s="19"/>
      <c r="F32" s="18"/>
      <c r="G32" s="13"/>
      <c r="H32" s="13"/>
      <c r="I32" s="17"/>
      <c r="J32" s="19"/>
      <c r="K32" s="19"/>
      <c r="L32" s="19"/>
      <c r="M32" s="17"/>
      <c r="N32" s="7"/>
      <c r="O32" s="7"/>
      <c r="P32" s="7"/>
    </row>
    <row r="33" spans="1:16" s="5" customFormat="1" x14ac:dyDescent="0.2">
      <c r="A33" s="5">
        <v>27</v>
      </c>
      <c r="B33" s="40">
        <f>'Dados Gerais'!B34</f>
        <v>0</v>
      </c>
      <c r="C33" s="18">
        <f>'Dados Gerais'!G34</f>
        <v>0</v>
      </c>
      <c r="D33" s="12">
        <f>'Dados Gerais'!J34</f>
        <v>0</v>
      </c>
      <c r="E33" s="19"/>
      <c r="F33" s="18"/>
      <c r="G33" s="13"/>
      <c r="H33" s="13"/>
      <c r="I33" s="17"/>
      <c r="J33" s="19"/>
      <c r="K33" s="19"/>
      <c r="L33" s="19"/>
      <c r="M33" s="17"/>
      <c r="N33" s="7"/>
      <c r="O33" s="7"/>
      <c r="P33" s="7"/>
    </row>
    <row r="34" spans="1:16" s="5" customFormat="1" x14ac:dyDescent="0.2">
      <c r="A34" s="5">
        <v>28</v>
      </c>
      <c r="B34" s="40">
        <f>'Dados Gerais'!B35</f>
        <v>0</v>
      </c>
      <c r="C34" s="18">
        <f>'Dados Gerais'!G35</f>
        <v>0</v>
      </c>
      <c r="D34" s="12">
        <f>'Dados Gerais'!J35</f>
        <v>0</v>
      </c>
      <c r="E34" s="19"/>
      <c r="F34" s="18"/>
      <c r="G34" s="13"/>
      <c r="H34" s="13"/>
      <c r="I34" s="17"/>
      <c r="J34" s="19"/>
      <c r="K34" s="19"/>
      <c r="L34" s="19"/>
      <c r="M34" s="17"/>
      <c r="N34" s="7"/>
      <c r="O34" s="7"/>
      <c r="P34" s="7"/>
    </row>
    <row r="35" spans="1:16" s="5" customFormat="1" x14ac:dyDescent="0.2">
      <c r="A35" s="5">
        <v>29</v>
      </c>
      <c r="B35" s="40">
        <f>'Dados Gerais'!B36</f>
        <v>0</v>
      </c>
      <c r="C35" s="18">
        <f>'Dados Gerais'!G36</f>
        <v>0</v>
      </c>
      <c r="D35" s="12">
        <f>'Dados Gerais'!J36</f>
        <v>0</v>
      </c>
      <c r="E35" s="19"/>
      <c r="F35" s="18"/>
      <c r="G35" s="13"/>
      <c r="H35" s="13"/>
      <c r="I35" s="17"/>
      <c r="J35" s="19"/>
      <c r="K35" s="19"/>
      <c r="L35" s="19"/>
      <c r="M35" s="17"/>
      <c r="N35" s="7"/>
      <c r="O35" s="7"/>
      <c r="P35" s="7"/>
    </row>
    <row r="36" spans="1:16" s="5" customFormat="1" x14ac:dyDescent="0.2">
      <c r="A36" s="5">
        <v>30</v>
      </c>
      <c r="B36" s="40">
        <f>'Dados Gerais'!B37</f>
        <v>0</v>
      </c>
      <c r="C36" s="18">
        <f>'Dados Gerais'!G37</f>
        <v>0</v>
      </c>
      <c r="D36" s="12">
        <f>'Dados Gerais'!J37</f>
        <v>0</v>
      </c>
      <c r="E36" s="19"/>
      <c r="F36" s="18"/>
      <c r="G36" s="13"/>
      <c r="H36" s="13"/>
      <c r="I36" s="17"/>
      <c r="J36" s="19"/>
      <c r="K36" s="19"/>
      <c r="L36" s="19"/>
      <c r="M36" s="17"/>
      <c r="N36" s="7"/>
      <c r="O36" s="7"/>
      <c r="P36" s="7"/>
    </row>
    <row r="37" spans="1:16" s="5" customFormat="1" x14ac:dyDescent="0.2">
      <c r="A37" s="5">
        <v>31</v>
      </c>
      <c r="B37" s="40">
        <f>'Dados Gerais'!B38</f>
        <v>0</v>
      </c>
      <c r="C37" s="18">
        <f>'Dados Gerais'!G38</f>
        <v>0</v>
      </c>
      <c r="D37" s="12">
        <f>'Dados Gerais'!J38</f>
        <v>0</v>
      </c>
      <c r="E37" s="19"/>
      <c r="F37" s="18"/>
      <c r="G37" s="13"/>
      <c r="H37" s="13"/>
      <c r="I37" s="17"/>
      <c r="J37" s="19"/>
      <c r="K37" s="19"/>
      <c r="L37" s="19"/>
      <c r="M37" s="17"/>
      <c r="N37" s="7"/>
      <c r="O37" s="7"/>
      <c r="P37" s="7"/>
    </row>
    <row r="38" spans="1:16" s="5" customFormat="1" x14ac:dyDescent="0.2">
      <c r="A38" s="5">
        <v>32</v>
      </c>
      <c r="B38" s="40">
        <f>'Dados Gerais'!B39</f>
        <v>0</v>
      </c>
      <c r="C38" s="18">
        <f>'Dados Gerais'!G39</f>
        <v>0</v>
      </c>
      <c r="D38" s="12">
        <f>'Dados Gerais'!J39</f>
        <v>0</v>
      </c>
      <c r="E38" s="19"/>
      <c r="F38" s="18"/>
      <c r="G38" s="13"/>
      <c r="H38" s="13"/>
      <c r="I38" s="17"/>
      <c r="J38" s="19"/>
      <c r="K38" s="19"/>
      <c r="L38" s="19"/>
      <c r="M38" s="17"/>
      <c r="N38" s="7"/>
      <c r="O38" s="7"/>
      <c r="P38" s="7"/>
    </row>
    <row r="39" spans="1:16" s="5" customFormat="1" x14ac:dyDescent="0.2">
      <c r="A39" s="5">
        <v>33</v>
      </c>
      <c r="B39" s="40">
        <f>'Dados Gerais'!B40</f>
        <v>0</v>
      </c>
      <c r="C39" s="18">
        <f>'Dados Gerais'!G40</f>
        <v>0</v>
      </c>
      <c r="D39" s="12">
        <f>'Dados Gerais'!J40</f>
        <v>0</v>
      </c>
      <c r="E39" s="19"/>
      <c r="F39" s="18"/>
      <c r="G39" s="13"/>
      <c r="H39" s="13"/>
      <c r="I39" s="17"/>
      <c r="J39" s="19"/>
      <c r="K39" s="19"/>
      <c r="L39" s="19"/>
      <c r="M39" s="17"/>
      <c r="N39" s="7"/>
      <c r="O39" s="7"/>
      <c r="P39" s="7"/>
    </row>
    <row r="40" spans="1:16" s="5" customFormat="1" x14ac:dyDescent="0.2">
      <c r="A40" s="5">
        <v>34</v>
      </c>
      <c r="B40" s="40">
        <f>'Dados Gerais'!B41</f>
        <v>0</v>
      </c>
      <c r="C40" s="18">
        <f>'Dados Gerais'!G41</f>
        <v>0</v>
      </c>
      <c r="D40" s="12">
        <f>'Dados Gerais'!J41</f>
        <v>0</v>
      </c>
      <c r="E40" s="19"/>
      <c r="F40" s="18"/>
      <c r="G40" s="13"/>
      <c r="H40" s="13"/>
      <c r="I40" s="17"/>
      <c r="J40" s="19"/>
      <c r="K40" s="19"/>
      <c r="L40" s="19"/>
      <c r="M40" s="17"/>
      <c r="N40" s="7"/>
      <c r="O40" s="7"/>
      <c r="P40" s="7"/>
    </row>
    <row r="41" spans="1:16" s="5" customFormat="1" x14ac:dyDescent="0.2">
      <c r="A41" s="5">
        <v>35</v>
      </c>
      <c r="B41" s="40">
        <f>'Dados Gerais'!B42</f>
        <v>0</v>
      </c>
      <c r="C41" s="18">
        <f>'Dados Gerais'!G42</f>
        <v>0</v>
      </c>
      <c r="D41" s="12">
        <f>'Dados Gerais'!J42</f>
        <v>0</v>
      </c>
      <c r="E41" s="19"/>
      <c r="F41" s="18"/>
      <c r="G41" s="13"/>
      <c r="H41" s="13"/>
      <c r="I41" s="17"/>
      <c r="J41" s="19"/>
      <c r="K41" s="19"/>
      <c r="L41" s="19"/>
      <c r="M41" s="17"/>
      <c r="N41" s="7"/>
      <c r="O41" s="7"/>
      <c r="P41" s="7"/>
    </row>
    <row r="42" spans="1:16" s="5" customFormat="1" x14ac:dyDescent="0.2">
      <c r="A42" s="5">
        <v>36</v>
      </c>
      <c r="B42" s="40">
        <f>'Dados Gerais'!B43</f>
        <v>0</v>
      </c>
      <c r="C42" s="18">
        <f>'Dados Gerais'!G43</f>
        <v>0</v>
      </c>
      <c r="D42" s="12">
        <f>'Dados Gerais'!J43</f>
        <v>0</v>
      </c>
      <c r="E42" s="19"/>
      <c r="F42" s="18"/>
      <c r="G42" s="13"/>
      <c r="H42" s="13"/>
      <c r="I42" s="17"/>
      <c r="J42" s="19"/>
      <c r="K42" s="19"/>
      <c r="L42" s="19"/>
      <c r="M42" s="17"/>
      <c r="N42" s="7"/>
      <c r="O42" s="7"/>
      <c r="P42" s="7"/>
    </row>
    <row r="43" spans="1:16" s="5" customFormat="1" x14ac:dyDescent="0.2">
      <c r="A43" s="5">
        <v>37</v>
      </c>
      <c r="B43" s="40">
        <f>'Dados Gerais'!B44</f>
        <v>0</v>
      </c>
      <c r="C43" s="18">
        <f>'Dados Gerais'!G44</f>
        <v>0</v>
      </c>
      <c r="D43" s="12">
        <f>'Dados Gerais'!J44</f>
        <v>0</v>
      </c>
      <c r="E43" s="19"/>
      <c r="F43" s="18"/>
      <c r="G43" s="13"/>
      <c r="H43" s="13"/>
      <c r="I43" s="17"/>
      <c r="J43" s="19"/>
      <c r="K43" s="19"/>
      <c r="L43" s="19"/>
      <c r="M43" s="17"/>
      <c r="N43" s="7"/>
      <c r="O43" s="7"/>
      <c r="P43" s="7"/>
    </row>
    <row r="44" spans="1:16" s="5" customFormat="1" x14ac:dyDescent="0.2">
      <c r="A44" s="5">
        <v>38</v>
      </c>
      <c r="B44" s="40">
        <f>'Dados Gerais'!B45</f>
        <v>0</v>
      </c>
      <c r="C44" s="18">
        <f>'Dados Gerais'!G45</f>
        <v>0</v>
      </c>
      <c r="D44" s="12">
        <f>'Dados Gerais'!J45</f>
        <v>0</v>
      </c>
      <c r="E44" s="19"/>
      <c r="F44" s="18"/>
      <c r="G44" s="13"/>
      <c r="H44" s="13"/>
      <c r="I44" s="17"/>
      <c r="J44" s="19"/>
      <c r="K44" s="19"/>
      <c r="L44" s="19"/>
      <c r="M44" s="17"/>
      <c r="N44" s="7"/>
      <c r="O44" s="7"/>
      <c r="P44" s="7"/>
    </row>
    <row r="45" spans="1:16" s="5" customFormat="1" x14ac:dyDescent="0.2">
      <c r="A45" s="5">
        <v>39</v>
      </c>
      <c r="B45" s="40">
        <f>'Dados Gerais'!B46</f>
        <v>0</v>
      </c>
      <c r="C45" s="18">
        <f>'Dados Gerais'!G46</f>
        <v>0</v>
      </c>
      <c r="D45" s="12">
        <f>'Dados Gerais'!J46</f>
        <v>0</v>
      </c>
      <c r="E45" s="19"/>
      <c r="F45" s="18"/>
      <c r="G45" s="13"/>
      <c r="H45" s="13"/>
      <c r="I45" s="17"/>
      <c r="J45" s="19"/>
      <c r="K45" s="19"/>
      <c r="L45" s="19"/>
      <c r="M45" s="17"/>
      <c r="N45" s="7"/>
      <c r="O45" s="7"/>
      <c r="P45" s="7"/>
    </row>
    <row r="46" spans="1:16" s="5" customFormat="1" x14ac:dyDescent="0.2">
      <c r="A46" s="5">
        <v>40</v>
      </c>
      <c r="B46" s="40">
        <f>'Dados Gerais'!B47</f>
        <v>0</v>
      </c>
      <c r="C46" s="18">
        <f>'Dados Gerais'!G47</f>
        <v>0</v>
      </c>
      <c r="D46" s="12">
        <f>'Dados Gerais'!J47</f>
        <v>0</v>
      </c>
      <c r="E46" s="19"/>
      <c r="F46" s="18"/>
      <c r="G46" s="13"/>
      <c r="H46" s="13"/>
      <c r="I46" s="17"/>
      <c r="J46" s="19"/>
      <c r="K46" s="19"/>
      <c r="L46" s="19"/>
      <c r="M46" s="17"/>
      <c r="N46" s="7"/>
      <c r="O46" s="7"/>
      <c r="P46" s="7"/>
    </row>
    <row r="47" spans="1:16" s="5" customFormat="1" x14ac:dyDescent="0.2">
      <c r="A47" s="5">
        <v>41</v>
      </c>
      <c r="B47" s="40">
        <f>'Dados Gerais'!B48</f>
        <v>0</v>
      </c>
      <c r="C47" s="18">
        <f>'Dados Gerais'!G48</f>
        <v>0</v>
      </c>
      <c r="D47" s="12">
        <f>'Dados Gerais'!J48</f>
        <v>0</v>
      </c>
      <c r="E47" s="19"/>
      <c r="F47" s="18"/>
      <c r="G47" s="13"/>
      <c r="H47" s="13"/>
      <c r="I47" s="17"/>
      <c r="J47" s="19"/>
      <c r="K47" s="19"/>
      <c r="L47" s="19"/>
      <c r="M47" s="17"/>
      <c r="N47" s="7"/>
      <c r="O47" s="7"/>
      <c r="P47" s="7"/>
    </row>
    <row r="48" spans="1:16" s="5" customFormat="1" x14ac:dyDescent="0.2">
      <c r="A48" s="5">
        <v>42</v>
      </c>
      <c r="B48" s="40">
        <f>'Dados Gerais'!B49</f>
        <v>0</v>
      </c>
      <c r="C48" s="18">
        <f>'Dados Gerais'!G49</f>
        <v>0</v>
      </c>
      <c r="D48" s="12">
        <f>'Dados Gerais'!J49</f>
        <v>0</v>
      </c>
      <c r="E48" s="19"/>
      <c r="F48" s="18"/>
      <c r="G48" s="13"/>
      <c r="H48" s="13"/>
      <c r="I48" s="17"/>
      <c r="J48" s="19"/>
      <c r="K48" s="19"/>
      <c r="L48" s="19"/>
      <c r="M48" s="17"/>
      <c r="N48" s="7"/>
      <c r="O48" s="7"/>
      <c r="P48" s="7"/>
    </row>
    <row r="49" spans="1:16" s="5" customFormat="1" x14ac:dyDescent="0.2">
      <c r="A49" s="5">
        <v>43</v>
      </c>
      <c r="B49" s="40">
        <f>'Dados Gerais'!B50</f>
        <v>0</v>
      </c>
      <c r="C49" s="18">
        <f>'Dados Gerais'!G50</f>
        <v>0</v>
      </c>
      <c r="D49" s="12">
        <f>'Dados Gerais'!J50</f>
        <v>0</v>
      </c>
      <c r="E49" s="19"/>
      <c r="F49" s="18"/>
      <c r="G49" s="13"/>
      <c r="H49" s="13"/>
      <c r="I49" s="17"/>
      <c r="J49" s="19"/>
      <c r="K49" s="19"/>
      <c r="L49" s="19"/>
      <c r="M49" s="17"/>
      <c r="N49" s="7"/>
      <c r="O49" s="7"/>
      <c r="P49" s="7"/>
    </row>
    <row r="50" spans="1:16" s="5" customFormat="1" x14ac:dyDescent="0.2">
      <c r="A50" s="5">
        <v>44</v>
      </c>
      <c r="B50" s="40">
        <f>'Dados Gerais'!B51</f>
        <v>0</v>
      </c>
      <c r="C50" s="18">
        <f>'Dados Gerais'!G51</f>
        <v>0</v>
      </c>
      <c r="D50" s="12">
        <f>'Dados Gerais'!J51</f>
        <v>0</v>
      </c>
      <c r="E50" s="19"/>
      <c r="F50" s="18"/>
      <c r="G50" s="13"/>
      <c r="H50" s="13"/>
      <c r="I50" s="17"/>
      <c r="J50" s="19"/>
      <c r="K50" s="19"/>
      <c r="L50" s="19"/>
      <c r="M50" s="17"/>
      <c r="N50" s="7"/>
      <c r="O50" s="7"/>
      <c r="P50" s="7"/>
    </row>
    <row r="51" spans="1:16" s="5" customFormat="1" x14ac:dyDescent="0.2">
      <c r="A51" s="5">
        <v>45</v>
      </c>
      <c r="B51" s="40">
        <f>'Dados Gerais'!B52</f>
        <v>0</v>
      </c>
      <c r="C51" s="18">
        <f>'Dados Gerais'!G52</f>
        <v>0</v>
      </c>
      <c r="D51" s="12">
        <f>'Dados Gerais'!J52</f>
        <v>0</v>
      </c>
      <c r="E51" s="19"/>
      <c r="F51" s="18"/>
      <c r="G51" s="13"/>
      <c r="H51" s="13"/>
      <c r="I51" s="17"/>
      <c r="J51" s="19"/>
      <c r="K51" s="19"/>
      <c r="L51" s="19"/>
      <c r="M51" s="17"/>
      <c r="N51" s="7"/>
      <c r="O51" s="7"/>
      <c r="P51" s="7"/>
    </row>
    <row r="52" spans="1:16" s="5" customFormat="1" x14ac:dyDescent="0.2">
      <c r="A52" s="5">
        <v>46</v>
      </c>
      <c r="B52" s="40">
        <f>'Dados Gerais'!B53</f>
        <v>0</v>
      </c>
      <c r="C52" s="18">
        <f>'Dados Gerais'!G53</f>
        <v>0</v>
      </c>
      <c r="D52" s="12">
        <f>'Dados Gerais'!J53</f>
        <v>0</v>
      </c>
      <c r="E52" s="19"/>
      <c r="F52" s="18"/>
      <c r="G52" s="13"/>
      <c r="H52" s="13"/>
      <c r="I52" s="17"/>
      <c r="J52" s="19"/>
      <c r="K52" s="19"/>
      <c r="L52" s="19"/>
      <c r="M52" s="17"/>
      <c r="N52" s="7"/>
      <c r="O52" s="7"/>
      <c r="P52" s="7"/>
    </row>
    <row r="53" spans="1:16" s="5" customFormat="1" x14ac:dyDescent="0.2">
      <c r="A53" s="5">
        <v>47</v>
      </c>
      <c r="B53" s="40">
        <f>'Dados Gerais'!B54</f>
        <v>0</v>
      </c>
      <c r="C53" s="18">
        <f>'Dados Gerais'!G54</f>
        <v>0</v>
      </c>
      <c r="D53" s="12">
        <f>'Dados Gerais'!J54</f>
        <v>0</v>
      </c>
      <c r="E53" s="19"/>
      <c r="F53" s="18"/>
      <c r="G53" s="13"/>
      <c r="H53" s="13"/>
      <c r="I53" s="17"/>
      <c r="J53" s="19"/>
      <c r="K53" s="19"/>
      <c r="L53" s="19"/>
      <c r="M53" s="17"/>
      <c r="N53" s="7"/>
      <c r="O53" s="7"/>
      <c r="P53" s="7"/>
    </row>
    <row r="54" spans="1:16" s="5" customFormat="1" x14ac:dyDescent="0.2">
      <c r="A54" s="5">
        <v>48</v>
      </c>
      <c r="B54" s="40">
        <f>'Dados Gerais'!B55</f>
        <v>0</v>
      </c>
      <c r="C54" s="18">
        <f>'Dados Gerais'!G55</f>
        <v>0</v>
      </c>
      <c r="D54" s="12">
        <f>'Dados Gerais'!J55</f>
        <v>0</v>
      </c>
      <c r="E54" s="19"/>
      <c r="F54" s="18"/>
      <c r="G54" s="13"/>
      <c r="H54" s="13"/>
      <c r="I54" s="17"/>
      <c r="J54" s="19"/>
      <c r="K54" s="19"/>
      <c r="L54" s="19"/>
      <c r="M54" s="17"/>
      <c r="N54" s="7"/>
      <c r="O54" s="7"/>
      <c r="P54" s="7"/>
    </row>
    <row r="55" spans="1:16" s="5" customFormat="1" x14ac:dyDescent="0.2">
      <c r="A55" s="5">
        <v>49</v>
      </c>
      <c r="B55" s="40">
        <f>'Dados Gerais'!B56</f>
        <v>0</v>
      </c>
      <c r="C55" s="18">
        <f>'Dados Gerais'!G56</f>
        <v>0</v>
      </c>
      <c r="D55" s="12">
        <f>'Dados Gerais'!J56</f>
        <v>0</v>
      </c>
      <c r="E55" s="19"/>
      <c r="F55" s="18"/>
      <c r="G55" s="13"/>
      <c r="H55" s="13"/>
      <c r="I55" s="17"/>
      <c r="J55" s="19"/>
      <c r="K55" s="19"/>
      <c r="L55" s="19"/>
      <c r="M55" s="17"/>
      <c r="N55" s="7"/>
      <c r="O55" s="7"/>
      <c r="P55" s="7"/>
    </row>
    <row r="56" spans="1:16" s="5" customFormat="1" x14ac:dyDescent="0.2">
      <c r="A56" s="5">
        <v>50</v>
      </c>
      <c r="B56" s="40">
        <f>'Dados Gerais'!B57</f>
        <v>0</v>
      </c>
      <c r="C56" s="18">
        <f>'Dados Gerais'!G57</f>
        <v>0</v>
      </c>
      <c r="D56" s="12">
        <f>'Dados Gerais'!J57</f>
        <v>0</v>
      </c>
      <c r="E56" s="19"/>
      <c r="F56" s="18"/>
      <c r="G56" s="13"/>
      <c r="H56" s="13"/>
      <c r="I56" s="17"/>
      <c r="J56" s="19"/>
      <c r="K56" s="19"/>
      <c r="L56" s="19"/>
      <c r="M56" s="17"/>
      <c r="N56" s="7"/>
      <c r="O56" s="7"/>
      <c r="P56" s="7"/>
    </row>
    <row r="57" spans="1:16" s="5" customFormat="1" x14ac:dyDescent="0.2">
      <c r="M57" s="53" t="s">
        <v>41</v>
      </c>
      <c r="N57" s="22">
        <f>SUM(N7:N56)</f>
        <v>0</v>
      </c>
      <c r="O57" s="22">
        <f>SUM(O7:O56)</f>
        <v>0</v>
      </c>
    </row>
    <row r="58" spans="1:16" s="5" customFormat="1" x14ac:dyDescent="0.2"/>
    <row r="59" spans="1:16" s="5" customFormat="1" x14ac:dyDescent="0.2"/>
    <row r="60" spans="1:16" s="5" customFormat="1" x14ac:dyDescent="0.2"/>
    <row r="61" spans="1:16" s="5" customFormat="1" x14ac:dyDescent="0.2"/>
    <row r="62" spans="1:16" s="5" customFormat="1" x14ac:dyDescent="0.2"/>
    <row r="63" spans="1:16" s="5" customFormat="1" x14ac:dyDescent="0.2"/>
    <row r="64" spans="1:16" s="5" customFormat="1" x14ac:dyDescent="0.2"/>
    <row r="65" s="5" customFormat="1" x14ac:dyDescent="0.2"/>
    <row r="66" s="5" customFormat="1" x14ac:dyDescent="0.2"/>
    <row r="67" s="5" customFormat="1" x14ac:dyDescent="0.2"/>
    <row r="68" s="5" customFormat="1" x14ac:dyDescent="0.2"/>
    <row r="69" s="5" customFormat="1" x14ac:dyDescent="0.2"/>
    <row r="70" s="5" customFormat="1" x14ac:dyDescent="0.2"/>
    <row r="71" s="5" customFormat="1" x14ac:dyDescent="0.2"/>
    <row r="72" s="5" customFormat="1" x14ac:dyDescent="0.2"/>
    <row r="73" s="5" customFormat="1" x14ac:dyDescent="0.2"/>
    <row r="74" s="5" customFormat="1" x14ac:dyDescent="0.2"/>
    <row r="75" s="5" customFormat="1" x14ac:dyDescent="0.2"/>
    <row r="76" s="5" customFormat="1" x14ac:dyDescent="0.2"/>
    <row r="77" s="5" customFormat="1" x14ac:dyDescent="0.2"/>
    <row r="78" s="5" customFormat="1" x14ac:dyDescent="0.2"/>
    <row r="79" s="5" customFormat="1" x14ac:dyDescent="0.2"/>
    <row r="80" s="5" customFormat="1" x14ac:dyDescent="0.2"/>
    <row r="81" s="5" customFormat="1" x14ac:dyDescent="0.2"/>
    <row r="82" s="5" customFormat="1" x14ac:dyDescent="0.2"/>
    <row r="83" s="5" customFormat="1" x14ac:dyDescent="0.2"/>
    <row r="84" s="5" customFormat="1" x14ac:dyDescent="0.2"/>
    <row r="85" s="5" customFormat="1" x14ac:dyDescent="0.2"/>
    <row r="86" s="5" customFormat="1" x14ac:dyDescent="0.2"/>
    <row r="87" s="5" customFormat="1" x14ac:dyDescent="0.2"/>
    <row r="88" s="5" customFormat="1" x14ac:dyDescent="0.2"/>
    <row r="89" s="5" customFormat="1" x14ac:dyDescent="0.2"/>
    <row r="90" s="5" customFormat="1" x14ac:dyDescent="0.2"/>
    <row r="91" s="5" customFormat="1" x14ac:dyDescent="0.2"/>
    <row r="92" s="5" customFormat="1" x14ac:dyDescent="0.2"/>
    <row r="93" s="5" customFormat="1" x14ac:dyDescent="0.2"/>
    <row r="94" s="5" customFormat="1" x14ac:dyDescent="0.2"/>
    <row r="95" s="5" customFormat="1" x14ac:dyDescent="0.2"/>
    <row r="96" s="5" customFormat="1" x14ac:dyDescent="0.2"/>
    <row r="97" spans="1:1" s="5" customFormat="1" x14ac:dyDescent="0.2"/>
    <row r="98" spans="1:1" s="5" customFormat="1" x14ac:dyDescent="0.2"/>
    <row r="99" spans="1:1" s="5" customFormat="1" x14ac:dyDescent="0.2"/>
    <row r="100" spans="1:1" s="5" customFormat="1" x14ac:dyDescent="0.2"/>
    <row r="101" spans="1:1" s="5" customFormat="1" x14ac:dyDescent="0.2"/>
    <row r="102" spans="1:1" s="5" customFormat="1" x14ac:dyDescent="0.2">
      <c r="A102" s="2"/>
    </row>
    <row r="103" spans="1:1" s="5" customFormat="1" x14ac:dyDescent="0.2">
      <c r="A103" s="2"/>
    </row>
    <row r="104" spans="1:1" s="5" customFormat="1" x14ac:dyDescent="0.2">
      <c r="A104" s="2"/>
    </row>
    <row r="105" spans="1:1" s="5" customFormat="1" x14ac:dyDescent="0.2">
      <c r="A105" s="2"/>
    </row>
    <row r="106" spans="1:1" s="5" customFormat="1" x14ac:dyDescent="0.2">
      <c r="A106" s="2"/>
    </row>
    <row r="107" spans="1:1" s="5" customFormat="1" x14ac:dyDescent="0.2">
      <c r="A107" s="2"/>
    </row>
    <row r="108" spans="1:1" s="5" customFormat="1" x14ac:dyDescent="0.2">
      <c r="A108" s="2"/>
    </row>
    <row r="109" spans="1:1" s="5" customFormat="1" x14ac:dyDescent="0.2">
      <c r="A109" s="2"/>
    </row>
    <row r="110" spans="1:1" s="5" customFormat="1" x14ac:dyDescent="0.2">
      <c r="A110" s="2"/>
    </row>
    <row r="111" spans="1:1" s="5" customFormat="1" x14ac:dyDescent="0.2">
      <c r="A111" s="2"/>
    </row>
  </sheetData>
  <sortState xmlns:xlrd2="http://schemas.microsoft.com/office/spreadsheetml/2017/richdata2" ref="B7:M23">
    <sortCondition ref="B7:B23"/>
  </sortState>
  <mergeCells count="10">
    <mergeCell ref="J1:L1"/>
    <mergeCell ref="J2:L2"/>
    <mergeCell ref="J3:L3"/>
    <mergeCell ref="J5:M5"/>
    <mergeCell ref="N5:P5"/>
    <mergeCell ref="C1:I1"/>
    <mergeCell ref="C2:I2"/>
    <mergeCell ref="C3:I3"/>
    <mergeCell ref="B5:D5"/>
    <mergeCell ref="E5:I5"/>
  </mergeCells>
  <conditionalFormatting sqref="B6:P6">
    <cfRule type="expression" dxfId="6" priority="3" stopIfTrue="1">
      <formula>MOD(ROW(),2) = 0</formula>
    </cfRule>
  </conditionalFormatting>
  <conditionalFormatting sqref="M3">
    <cfRule type="cellIs" dxfId="5" priority="1" operator="lessThan">
      <formula>0</formula>
    </cfRule>
    <cfRule type="cellIs" dxfId="4" priority="2" operator="greaterThan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landscape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111"/>
  <sheetViews>
    <sheetView showGridLines="0" tabSelected="1" topLeftCell="D11" workbookViewId="0">
      <selection activeCell="G16" sqref="G16"/>
    </sheetView>
  </sheetViews>
  <sheetFormatPr defaultColWidth="9.140625" defaultRowHeight="12.75" x14ac:dyDescent="0.2"/>
  <cols>
    <col min="1" max="1" width="3" style="2" bestFit="1" customWidth="1"/>
    <col min="2" max="2" width="27.5703125" style="5" bestFit="1" customWidth="1"/>
    <col min="3" max="3" width="10.5703125" style="5" bestFit="1" customWidth="1"/>
    <col min="4" max="4" width="8" style="5" bestFit="1" customWidth="1"/>
    <col min="5" max="5" width="10.42578125" style="5" customWidth="1"/>
    <col min="6" max="7" width="14.7109375" style="5" customWidth="1"/>
    <col min="8" max="8" width="21.42578125" style="5" customWidth="1"/>
    <col min="9" max="9" width="9.140625" style="5" bestFit="1" customWidth="1"/>
    <col min="10" max="10" width="9.140625" style="5" customWidth="1"/>
    <col min="11" max="11" width="11.140625" style="5" customWidth="1"/>
    <col min="12" max="12" width="14.85546875" style="5" customWidth="1"/>
    <col min="13" max="13" width="9.7109375" style="5" customWidth="1"/>
    <col min="14" max="14" width="14.85546875" style="5" customWidth="1"/>
    <col min="15" max="15" width="51" style="5" customWidth="1"/>
    <col min="16" max="22" width="9.140625" style="5"/>
    <col min="23" max="16384" width="9.140625" style="2"/>
  </cols>
  <sheetData>
    <row r="1" spans="1:15" ht="15" x14ac:dyDescent="0.25">
      <c r="B1" s="41" t="s">
        <v>29</v>
      </c>
      <c r="C1" s="93">
        <f>'Dados Gerais'!C2:J2</f>
        <v>0</v>
      </c>
      <c r="D1" s="94"/>
      <c r="E1" s="94"/>
      <c r="F1" s="94"/>
      <c r="G1" s="94"/>
      <c r="H1" s="94"/>
      <c r="I1" s="94"/>
      <c r="J1" s="94"/>
      <c r="K1" s="107" t="s">
        <v>49</v>
      </c>
      <c r="L1" s="108"/>
      <c r="M1" s="108"/>
      <c r="N1" s="109"/>
      <c r="O1" s="2"/>
    </row>
    <row r="2" spans="1:15" ht="15" x14ac:dyDescent="0.25">
      <c r="B2" s="41" t="s">
        <v>30</v>
      </c>
      <c r="C2" s="93">
        <f>'Dados Gerais'!C3:J3</f>
        <v>0</v>
      </c>
      <c r="D2" s="94"/>
      <c r="E2" s="94"/>
      <c r="F2" s="94"/>
      <c r="G2" s="94"/>
      <c r="H2" s="94"/>
      <c r="I2" s="94"/>
      <c r="J2" s="94"/>
      <c r="K2" s="101" t="s">
        <v>47</v>
      </c>
      <c r="L2" s="102"/>
      <c r="M2" s="103"/>
      <c r="N2" s="55"/>
      <c r="O2" s="2"/>
    </row>
    <row r="3" spans="1:15" ht="15" x14ac:dyDescent="0.25">
      <c r="B3" s="41" t="s">
        <v>31</v>
      </c>
      <c r="C3" s="93">
        <f>'Dados Gerais'!C4:J4</f>
        <v>0</v>
      </c>
      <c r="D3" s="94"/>
      <c r="E3" s="94"/>
      <c r="F3" s="94"/>
      <c r="G3" s="94"/>
      <c r="H3" s="94"/>
      <c r="I3" s="94"/>
      <c r="J3" s="94"/>
      <c r="K3" s="101" t="s">
        <v>48</v>
      </c>
      <c r="L3" s="102"/>
      <c r="M3" s="103"/>
      <c r="N3" s="55"/>
      <c r="O3" s="2"/>
    </row>
    <row r="5" spans="1:15" x14ac:dyDescent="0.2">
      <c r="B5" s="96" t="s">
        <v>35</v>
      </c>
      <c r="C5" s="97"/>
      <c r="D5" s="98"/>
      <c r="E5" s="54"/>
      <c r="F5" s="99" t="s">
        <v>39</v>
      </c>
      <c r="G5" s="100"/>
      <c r="H5" s="100"/>
      <c r="I5" s="100"/>
      <c r="J5" s="100"/>
      <c r="K5" s="104" t="s">
        <v>44</v>
      </c>
      <c r="L5" s="105"/>
      <c r="M5" s="105"/>
      <c r="N5" s="106"/>
      <c r="O5" s="64"/>
    </row>
    <row r="6" spans="1:15" s="5" customFormat="1" ht="25.5" x14ac:dyDescent="0.2">
      <c r="B6" s="49" t="s">
        <v>55</v>
      </c>
      <c r="C6" s="50" t="s">
        <v>14</v>
      </c>
      <c r="D6" s="50" t="s">
        <v>15</v>
      </c>
      <c r="E6" s="50" t="s">
        <v>50</v>
      </c>
      <c r="F6" s="50" t="s">
        <v>9</v>
      </c>
      <c r="G6" s="50" t="s">
        <v>10</v>
      </c>
      <c r="H6" s="50" t="s">
        <v>56</v>
      </c>
      <c r="I6" s="50" t="s">
        <v>53</v>
      </c>
      <c r="J6" s="60" t="s">
        <v>54</v>
      </c>
      <c r="K6" s="50" t="s">
        <v>11</v>
      </c>
      <c r="L6" s="50" t="s">
        <v>57</v>
      </c>
      <c r="M6" s="50" t="s">
        <v>78</v>
      </c>
      <c r="N6" s="50" t="s">
        <v>19</v>
      </c>
      <c r="O6" s="51" t="s">
        <v>36</v>
      </c>
    </row>
    <row r="7" spans="1:15" s="5" customFormat="1" x14ac:dyDescent="0.2">
      <c r="A7" s="5">
        <v>1</v>
      </c>
      <c r="B7" s="42">
        <f>'Dados Gerais'!B8</f>
        <v>0</v>
      </c>
      <c r="C7" s="43">
        <f>'Dados Gerais'!G8</f>
        <v>0</v>
      </c>
      <c r="D7" s="44">
        <f>'Dados Gerais'!J8</f>
        <v>0</v>
      </c>
      <c r="E7" s="44" t="s">
        <v>51</v>
      </c>
      <c r="F7" s="45">
        <f>Passagens!E7</f>
        <v>0</v>
      </c>
      <c r="G7" s="58">
        <f>Passagens!J7</f>
        <v>0</v>
      </c>
      <c r="H7" s="47"/>
      <c r="I7" s="59">
        <f>G7-F7</f>
        <v>0</v>
      </c>
      <c r="J7" s="61">
        <f>I7</f>
        <v>0</v>
      </c>
      <c r="K7" s="48">
        <f t="shared" ref="K7:K38" si="0">IF(E7="single", $N$2, IF(E7="double", $N$3, "0,00"))</f>
        <v>0</v>
      </c>
      <c r="L7" s="63">
        <f>(K7*J7)</f>
        <v>0</v>
      </c>
      <c r="M7" s="62">
        <f t="shared" ref="M7:M38" si="1">I7-J7</f>
        <v>0</v>
      </c>
      <c r="N7" s="48">
        <f>M7*K7</f>
        <v>0</v>
      </c>
      <c r="O7" s="48"/>
    </row>
    <row r="8" spans="1:15" s="5" customFormat="1" x14ac:dyDescent="0.2">
      <c r="A8" s="5">
        <v>2</v>
      </c>
      <c r="B8" s="16">
        <f>'Dados Gerais'!B9</f>
        <v>0</v>
      </c>
      <c r="C8" s="18">
        <f>'Dados Gerais'!G9</f>
        <v>0</v>
      </c>
      <c r="D8" s="12">
        <f>'Dados Gerais'!J9</f>
        <v>0</v>
      </c>
      <c r="E8" s="44" t="s">
        <v>51</v>
      </c>
      <c r="F8" s="45">
        <f>Passagens!E8</f>
        <v>0</v>
      </c>
      <c r="G8" s="58">
        <f>Passagens!J8</f>
        <v>0</v>
      </c>
      <c r="H8" s="17"/>
      <c r="I8" s="59">
        <f t="shared" ref="I8:I27" si="2">G8-F8</f>
        <v>0</v>
      </c>
      <c r="J8" s="61">
        <f t="shared" ref="J8:J56" si="3">I8</f>
        <v>0</v>
      </c>
      <c r="K8" s="48">
        <f t="shared" si="0"/>
        <v>0</v>
      </c>
      <c r="L8" s="63">
        <f>(K8*J8)</f>
        <v>0</v>
      </c>
      <c r="M8" s="62">
        <f t="shared" si="1"/>
        <v>0</v>
      </c>
      <c r="N8" s="48">
        <f t="shared" ref="N8:N56" si="4">M8*K8</f>
        <v>0</v>
      </c>
      <c r="O8" s="7"/>
    </row>
    <row r="9" spans="1:15" s="5" customFormat="1" x14ac:dyDescent="0.2">
      <c r="A9" s="5">
        <v>3</v>
      </c>
      <c r="B9" s="39">
        <f>'Dados Gerais'!B10</f>
        <v>0</v>
      </c>
      <c r="C9" s="18">
        <f>'Dados Gerais'!G10</f>
        <v>0</v>
      </c>
      <c r="D9" s="12">
        <f>'Dados Gerais'!J10</f>
        <v>0</v>
      </c>
      <c r="E9" s="12" t="s">
        <v>52</v>
      </c>
      <c r="F9" s="45">
        <f>Passagens!E9</f>
        <v>0</v>
      </c>
      <c r="G9" s="58">
        <f>Passagens!J9</f>
        <v>0</v>
      </c>
      <c r="H9" s="39"/>
      <c r="I9" s="59">
        <f t="shared" si="2"/>
        <v>0</v>
      </c>
      <c r="J9" s="61">
        <v>2</v>
      </c>
      <c r="K9" s="48">
        <f t="shared" si="0"/>
        <v>0</v>
      </c>
      <c r="L9" s="63">
        <f>(K9*J9)/2</f>
        <v>0</v>
      </c>
      <c r="M9" s="62">
        <f t="shared" si="1"/>
        <v>-2</v>
      </c>
      <c r="N9" s="48">
        <f>M9*K9/2</f>
        <v>0</v>
      </c>
      <c r="O9" s="7"/>
    </row>
    <row r="10" spans="1:15" s="5" customFormat="1" x14ac:dyDescent="0.2">
      <c r="A10" s="5">
        <v>4</v>
      </c>
      <c r="B10" s="16">
        <f>'Dados Gerais'!B11</f>
        <v>0</v>
      </c>
      <c r="C10" s="18">
        <f>'Dados Gerais'!G11</f>
        <v>0</v>
      </c>
      <c r="D10" s="12">
        <f>'Dados Gerais'!J11</f>
        <v>0</v>
      </c>
      <c r="E10" s="44" t="s">
        <v>51</v>
      </c>
      <c r="F10" s="45">
        <f>Passagens!E10</f>
        <v>0</v>
      </c>
      <c r="G10" s="58">
        <f>Passagens!J10</f>
        <v>0</v>
      </c>
      <c r="H10" s="17"/>
      <c r="I10" s="59">
        <f t="shared" si="2"/>
        <v>0</v>
      </c>
      <c r="J10" s="61">
        <f t="shared" si="3"/>
        <v>0</v>
      </c>
      <c r="K10" s="48">
        <f t="shared" si="0"/>
        <v>0</v>
      </c>
      <c r="L10" s="63">
        <f>(K10*J10)</f>
        <v>0</v>
      </c>
      <c r="M10" s="62">
        <f t="shared" si="1"/>
        <v>0</v>
      </c>
      <c r="N10" s="48">
        <f t="shared" si="4"/>
        <v>0</v>
      </c>
      <c r="O10" s="7"/>
    </row>
    <row r="11" spans="1:15" s="5" customFormat="1" x14ac:dyDescent="0.2">
      <c r="A11" s="5">
        <v>5</v>
      </c>
      <c r="B11" s="16">
        <f>'Dados Gerais'!B12</f>
        <v>0</v>
      </c>
      <c r="C11" s="18">
        <f>'Dados Gerais'!G12</f>
        <v>0</v>
      </c>
      <c r="D11" s="12">
        <f>'Dados Gerais'!J12</f>
        <v>0</v>
      </c>
      <c r="E11" s="44" t="s">
        <v>51</v>
      </c>
      <c r="F11" s="45">
        <f>Passagens!E11</f>
        <v>0</v>
      </c>
      <c r="G11" s="58">
        <f>Passagens!J11</f>
        <v>0</v>
      </c>
      <c r="H11" s="17"/>
      <c r="I11" s="59">
        <f t="shared" si="2"/>
        <v>0</v>
      </c>
      <c r="J11" s="61">
        <f t="shared" si="3"/>
        <v>0</v>
      </c>
      <c r="K11" s="48">
        <f t="shared" si="0"/>
        <v>0</v>
      </c>
      <c r="L11" s="63">
        <f>(K11*J11)</f>
        <v>0</v>
      </c>
      <c r="M11" s="62">
        <f t="shared" si="1"/>
        <v>0</v>
      </c>
      <c r="N11" s="48">
        <f t="shared" si="4"/>
        <v>0</v>
      </c>
      <c r="O11" s="7"/>
    </row>
    <row r="12" spans="1:15" s="5" customFormat="1" x14ac:dyDescent="0.2">
      <c r="A12" s="5">
        <v>6</v>
      </c>
      <c r="B12" s="16">
        <f>'Dados Gerais'!B13</f>
        <v>0</v>
      </c>
      <c r="C12" s="18">
        <f>'Dados Gerais'!G13</f>
        <v>0</v>
      </c>
      <c r="D12" s="12">
        <f>'Dados Gerais'!J13</f>
        <v>0</v>
      </c>
      <c r="E12" s="44" t="s">
        <v>51</v>
      </c>
      <c r="F12" s="45">
        <f>Passagens!E12</f>
        <v>0</v>
      </c>
      <c r="G12" s="58">
        <f>Passagens!J12</f>
        <v>0</v>
      </c>
      <c r="H12" s="17"/>
      <c r="I12" s="59">
        <f t="shared" si="2"/>
        <v>0</v>
      </c>
      <c r="J12" s="61">
        <f t="shared" si="3"/>
        <v>0</v>
      </c>
      <c r="K12" s="48">
        <f t="shared" si="0"/>
        <v>0</v>
      </c>
      <c r="L12" s="63">
        <f>(K12*J12)</f>
        <v>0</v>
      </c>
      <c r="M12" s="62">
        <f t="shared" si="1"/>
        <v>0</v>
      </c>
      <c r="N12" s="48">
        <f t="shared" si="4"/>
        <v>0</v>
      </c>
      <c r="O12" s="57"/>
    </row>
    <row r="13" spans="1:15" s="5" customFormat="1" x14ac:dyDescent="0.2">
      <c r="A13" s="5">
        <v>7</v>
      </c>
      <c r="B13" s="16">
        <f>'Dados Gerais'!B14</f>
        <v>0</v>
      </c>
      <c r="C13" s="18">
        <f>'Dados Gerais'!G14</f>
        <v>0</v>
      </c>
      <c r="D13" s="12">
        <f>'Dados Gerais'!J14</f>
        <v>0</v>
      </c>
      <c r="E13" s="44" t="s">
        <v>51</v>
      </c>
      <c r="F13" s="45">
        <f>Passagens!E13</f>
        <v>0</v>
      </c>
      <c r="G13" s="58">
        <f>Passagens!J13</f>
        <v>0</v>
      </c>
      <c r="H13" s="17"/>
      <c r="I13" s="59">
        <f t="shared" si="2"/>
        <v>0</v>
      </c>
      <c r="J13" s="61">
        <f t="shared" si="3"/>
        <v>0</v>
      </c>
      <c r="K13" s="48">
        <f t="shared" si="0"/>
        <v>0</v>
      </c>
      <c r="L13" s="63">
        <f>(K13*J13)</f>
        <v>0</v>
      </c>
      <c r="M13" s="62">
        <f t="shared" si="1"/>
        <v>0</v>
      </c>
      <c r="N13" s="48">
        <f t="shared" si="4"/>
        <v>0</v>
      </c>
      <c r="O13" s="7"/>
    </row>
    <row r="14" spans="1:15" s="5" customFormat="1" x14ac:dyDescent="0.2">
      <c r="A14" s="5">
        <v>8</v>
      </c>
      <c r="B14" s="16">
        <f>'Dados Gerais'!B15</f>
        <v>0</v>
      </c>
      <c r="C14" s="18">
        <f>'Dados Gerais'!G15</f>
        <v>0</v>
      </c>
      <c r="D14" s="12">
        <f>'Dados Gerais'!J15</f>
        <v>0</v>
      </c>
      <c r="E14" s="44" t="s">
        <v>51</v>
      </c>
      <c r="F14" s="45">
        <f>Passagens!E14</f>
        <v>0</v>
      </c>
      <c r="G14" s="58">
        <f>Passagens!J14</f>
        <v>0</v>
      </c>
      <c r="H14" s="17"/>
      <c r="I14" s="59">
        <f t="shared" si="2"/>
        <v>0</v>
      </c>
      <c r="J14" s="61">
        <f t="shared" si="3"/>
        <v>0</v>
      </c>
      <c r="K14" s="48">
        <f t="shared" si="0"/>
        <v>0</v>
      </c>
      <c r="L14" s="63">
        <f>(K14*J14)</f>
        <v>0</v>
      </c>
      <c r="M14" s="62">
        <f t="shared" si="1"/>
        <v>0</v>
      </c>
      <c r="N14" s="48">
        <f t="shared" si="4"/>
        <v>0</v>
      </c>
      <c r="O14" s="7"/>
    </row>
    <row r="15" spans="1:15" s="5" customFormat="1" x14ac:dyDescent="0.2">
      <c r="A15" s="5">
        <v>9</v>
      </c>
      <c r="B15" s="39">
        <f>'Dados Gerais'!B16</f>
        <v>0</v>
      </c>
      <c r="C15" s="18">
        <f>'Dados Gerais'!G16</f>
        <v>0</v>
      </c>
      <c r="D15" s="12">
        <f>'Dados Gerais'!J16</f>
        <v>0</v>
      </c>
      <c r="E15" s="12" t="s">
        <v>52</v>
      </c>
      <c r="F15" s="45">
        <f>Passagens!E15</f>
        <v>0</v>
      </c>
      <c r="G15" s="58">
        <f>Passagens!J15</f>
        <v>0</v>
      </c>
      <c r="H15" s="17"/>
      <c r="I15" s="59">
        <f t="shared" si="2"/>
        <v>0</v>
      </c>
      <c r="J15" s="61">
        <f t="shared" si="3"/>
        <v>0</v>
      </c>
      <c r="K15" s="48">
        <f t="shared" si="0"/>
        <v>0</v>
      </c>
      <c r="L15" s="63">
        <f>(K15*J15)/2</f>
        <v>0</v>
      </c>
      <c r="M15" s="62">
        <f t="shared" si="1"/>
        <v>0</v>
      </c>
      <c r="N15" s="48">
        <f>M15*K15/2</f>
        <v>0</v>
      </c>
      <c r="O15" s="7"/>
    </row>
    <row r="16" spans="1:15" s="5" customFormat="1" x14ac:dyDescent="0.2">
      <c r="A16" s="5">
        <v>10</v>
      </c>
      <c r="B16" s="16">
        <f>'Dados Gerais'!B17</f>
        <v>0</v>
      </c>
      <c r="C16" s="18">
        <f>'Dados Gerais'!G17</f>
        <v>0</v>
      </c>
      <c r="D16" s="12">
        <f>'Dados Gerais'!J17</f>
        <v>0</v>
      </c>
      <c r="E16" s="44" t="s">
        <v>51</v>
      </c>
      <c r="F16" s="45">
        <f>Passagens!E16</f>
        <v>0</v>
      </c>
      <c r="G16" s="58">
        <f>Passagens!J16</f>
        <v>0</v>
      </c>
      <c r="H16" s="17"/>
      <c r="I16" s="59">
        <f t="shared" si="2"/>
        <v>0</v>
      </c>
      <c r="J16" s="61">
        <f t="shared" si="3"/>
        <v>0</v>
      </c>
      <c r="K16" s="48">
        <f t="shared" si="0"/>
        <v>0</v>
      </c>
      <c r="L16" s="63">
        <f t="shared" ref="L16:L26" si="5">(K16*J16)/2</f>
        <v>0</v>
      </c>
      <c r="M16" s="62">
        <f t="shared" si="1"/>
        <v>0</v>
      </c>
      <c r="N16" s="48">
        <f t="shared" si="4"/>
        <v>0</v>
      </c>
      <c r="O16" s="7"/>
    </row>
    <row r="17" spans="1:15" s="5" customFormat="1" x14ac:dyDescent="0.2">
      <c r="A17" s="5">
        <v>11</v>
      </c>
      <c r="B17" s="16">
        <f>'Dados Gerais'!B18</f>
        <v>0</v>
      </c>
      <c r="C17" s="18">
        <f>'Dados Gerais'!G18</f>
        <v>0</v>
      </c>
      <c r="D17" s="12">
        <f>'Dados Gerais'!J18</f>
        <v>0</v>
      </c>
      <c r="E17" s="44" t="s">
        <v>51</v>
      </c>
      <c r="F17" s="45">
        <f>Passagens!E17</f>
        <v>0</v>
      </c>
      <c r="G17" s="58">
        <f>Passagens!J17</f>
        <v>0</v>
      </c>
      <c r="H17" s="17"/>
      <c r="I17" s="59">
        <f t="shared" si="2"/>
        <v>0</v>
      </c>
      <c r="J17" s="61">
        <f t="shared" si="3"/>
        <v>0</v>
      </c>
      <c r="K17" s="48">
        <f t="shared" si="0"/>
        <v>0</v>
      </c>
      <c r="L17" s="63">
        <f t="shared" si="5"/>
        <v>0</v>
      </c>
      <c r="M17" s="62">
        <f t="shared" si="1"/>
        <v>0</v>
      </c>
      <c r="N17" s="48">
        <f t="shared" si="4"/>
        <v>0</v>
      </c>
      <c r="O17" s="7"/>
    </row>
    <row r="18" spans="1:15" s="5" customFormat="1" x14ac:dyDescent="0.2">
      <c r="A18" s="5">
        <v>12</v>
      </c>
      <c r="B18" s="16">
        <f>'Dados Gerais'!B19</f>
        <v>0</v>
      </c>
      <c r="C18" s="18">
        <f>'Dados Gerais'!G19</f>
        <v>0</v>
      </c>
      <c r="D18" s="12">
        <f>'Dados Gerais'!J19</f>
        <v>0</v>
      </c>
      <c r="E18" s="44" t="s">
        <v>51</v>
      </c>
      <c r="F18" s="45">
        <f>Passagens!E18</f>
        <v>0</v>
      </c>
      <c r="G18" s="58">
        <f>Passagens!J18</f>
        <v>0</v>
      </c>
      <c r="H18" s="17"/>
      <c r="I18" s="59">
        <f t="shared" si="2"/>
        <v>0</v>
      </c>
      <c r="J18" s="61">
        <f t="shared" si="3"/>
        <v>0</v>
      </c>
      <c r="K18" s="48">
        <f t="shared" si="0"/>
        <v>0</v>
      </c>
      <c r="L18" s="63">
        <f t="shared" si="5"/>
        <v>0</v>
      </c>
      <c r="M18" s="62">
        <f t="shared" si="1"/>
        <v>0</v>
      </c>
      <c r="N18" s="48">
        <f t="shared" si="4"/>
        <v>0</v>
      </c>
      <c r="O18" s="57"/>
    </row>
    <row r="19" spans="1:15" s="5" customFormat="1" x14ac:dyDescent="0.2">
      <c r="A19" s="5">
        <v>13</v>
      </c>
      <c r="B19" s="16">
        <f>'Dados Gerais'!B20</f>
        <v>0</v>
      </c>
      <c r="C19" s="18">
        <f>'Dados Gerais'!G20</f>
        <v>0</v>
      </c>
      <c r="D19" s="12">
        <f>'Dados Gerais'!J20</f>
        <v>0</v>
      </c>
      <c r="E19" s="44" t="s">
        <v>51</v>
      </c>
      <c r="F19" s="45">
        <f>Passagens!E19</f>
        <v>0</v>
      </c>
      <c r="G19" s="58">
        <f>Passagens!J19</f>
        <v>0</v>
      </c>
      <c r="H19" s="17"/>
      <c r="I19" s="59">
        <f t="shared" si="2"/>
        <v>0</v>
      </c>
      <c r="J19" s="61">
        <f t="shared" si="3"/>
        <v>0</v>
      </c>
      <c r="K19" s="48">
        <f t="shared" si="0"/>
        <v>0</v>
      </c>
      <c r="L19" s="63">
        <f t="shared" si="5"/>
        <v>0</v>
      </c>
      <c r="M19" s="62">
        <f t="shared" si="1"/>
        <v>0</v>
      </c>
      <c r="N19" s="48">
        <f t="shared" si="4"/>
        <v>0</v>
      </c>
      <c r="O19" s="7"/>
    </row>
    <row r="20" spans="1:15" s="5" customFormat="1" x14ac:dyDescent="0.2">
      <c r="A20" s="5">
        <v>14</v>
      </c>
      <c r="B20" s="16">
        <f>'Dados Gerais'!B21</f>
        <v>0</v>
      </c>
      <c r="C20" s="18">
        <f>'Dados Gerais'!G21</f>
        <v>0</v>
      </c>
      <c r="D20" s="12">
        <f>'Dados Gerais'!J21</f>
        <v>0</v>
      </c>
      <c r="E20" s="44" t="s">
        <v>51</v>
      </c>
      <c r="F20" s="45">
        <f>Passagens!E20</f>
        <v>0</v>
      </c>
      <c r="G20" s="58">
        <f>Passagens!J20</f>
        <v>0</v>
      </c>
      <c r="H20" s="17"/>
      <c r="I20" s="59">
        <f t="shared" si="2"/>
        <v>0</v>
      </c>
      <c r="J20" s="61">
        <f t="shared" si="3"/>
        <v>0</v>
      </c>
      <c r="K20" s="48">
        <f t="shared" si="0"/>
        <v>0</v>
      </c>
      <c r="L20" s="63">
        <f t="shared" si="5"/>
        <v>0</v>
      </c>
      <c r="M20" s="62">
        <f t="shared" si="1"/>
        <v>0</v>
      </c>
      <c r="N20" s="48">
        <f t="shared" si="4"/>
        <v>0</v>
      </c>
      <c r="O20" s="7"/>
    </row>
    <row r="21" spans="1:15" s="5" customFormat="1" x14ac:dyDescent="0.2">
      <c r="A21" s="5">
        <v>15</v>
      </c>
      <c r="B21" s="10">
        <f>'Dados Gerais'!B22</f>
        <v>0</v>
      </c>
      <c r="C21" s="18">
        <f>'Dados Gerais'!G22</f>
        <v>0</v>
      </c>
      <c r="D21" s="12">
        <f>'Dados Gerais'!J22</f>
        <v>0</v>
      </c>
      <c r="E21" s="44" t="s">
        <v>51</v>
      </c>
      <c r="F21" s="45">
        <f>Passagens!E21</f>
        <v>0</v>
      </c>
      <c r="G21" s="58">
        <f>Passagens!J21</f>
        <v>0</v>
      </c>
      <c r="H21" s="17"/>
      <c r="I21" s="59">
        <f t="shared" si="2"/>
        <v>0</v>
      </c>
      <c r="J21" s="61">
        <f t="shared" si="3"/>
        <v>0</v>
      </c>
      <c r="K21" s="48">
        <f t="shared" si="0"/>
        <v>0</v>
      </c>
      <c r="L21" s="63">
        <f t="shared" si="5"/>
        <v>0</v>
      </c>
      <c r="M21" s="62">
        <f t="shared" si="1"/>
        <v>0</v>
      </c>
      <c r="N21" s="48">
        <f t="shared" si="4"/>
        <v>0</v>
      </c>
      <c r="O21" s="7"/>
    </row>
    <row r="22" spans="1:15" s="5" customFormat="1" x14ac:dyDescent="0.2">
      <c r="A22" s="5">
        <v>16</v>
      </c>
      <c r="B22" s="40">
        <f>'Dados Gerais'!B23</f>
        <v>0</v>
      </c>
      <c r="C22" s="18">
        <f>'Dados Gerais'!G23</f>
        <v>0</v>
      </c>
      <c r="D22" s="12">
        <f>'Dados Gerais'!J23</f>
        <v>0</v>
      </c>
      <c r="E22" s="44" t="s">
        <v>51</v>
      </c>
      <c r="F22" s="45">
        <f>Passagens!E22</f>
        <v>0</v>
      </c>
      <c r="G22" s="58">
        <f>Passagens!J22</f>
        <v>0</v>
      </c>
      <c r="H22" s="30"/>
      <c r="I22" s="59">
        <f t="shared" si="2"/>
        <v>0</v>
      </c>
      <c r="J22" s="61">
        <f t="shared" si="3"/>
        <v>0</v>
      </c>
      <c r="K22" s="48">
        <f t="shared" si="0"/>
        <v>0</v>
      </c>
      <c r="L22" s="63">
        <f t="shared" si="5"/>
        <v>0</v>
      </c>
      <c r="M22" s="62">
        <f t="shared" si="1"/>
        <v>0</v>
      </c>
      <c r="N22" s="48">
        <f t="shared" si="4"/>
        <v>0</v>
      </c>
      <c r="O22" s="7"/>
    </row>
    <row r="23" spans="1:15" s="5" customFormat="1" x14ac:dyDescent="0.2">
      <c r="A23" s="5">
        <v>17</v>
      </c>
      <c r="B23" s="40">
        <f>'Dados Gerais'!B24</f>
        <v>0</v>
      </c>
      <c r="C23" s="18">
        <f>'Dados Gerais'!G24</f>
        <v>0</v>
      </c>
      <c r="D23" s="12">
        <f>'Dados Gerais'!J24</f>
        <v>0</v>
      </c>
      <c r="E23" s="44" t="s">
        <v>51</v>
      </c>
      <c r="F23" s="45">
        <f>Passagens!E23</f>
        <v>0</v>
      </c>
      <c r="G23" s="58">
        <f>Passagens!J23</f>
        <v>0</v>
      </c>
      <c r="H23" s="17"/>
      <c r="I23" s="59">
        <f t="shared" si="2"/>
        <v>0</v>
      </c>
      <c r="J23" s="61">
        <f t="shared" si="3"/>
        <v>0</v>
      </c>
      <c r="K23" s="48">
        <f t="shared" si="0"/>
        <v>0</v>
      </c>
      <c r="L23" s="63">
        <f t="shared" si="5"/>
        <v>0</v>
      </c>
      <c r="M23" s="62">
        <f t="shared" si="1"/>
        <v>0</v>
      </c>
      <c r="N23" s="48">
        <f t="shared" si="4"/>
        <v>0</v>
      </c>
      <c r="O23" s="7"/>
    </row>
    <row r="24" spans="1:15" s="5" customFormat="1" x14ac:dyDescent="0.2">
      <c r="A24" s="5">
        <v>18</v>
      </c>
      <c r="B24" s="10">
        <f>'Dados Gerais'!B25</f>
        <v>0</v>
      </c>
      <c r="C24" s="18">
        <f>'Dados Gerais'!G25</f>
        <v>0</v>
      </c>
      <c r="D24" s="12">
        <f>'Dados Gerais'!J25</f>
        <v>0</v>
      </c>
      <c r="E24" s="12" t="s">
        <v>52</v>
      </c>
      <c r="F24" s="45">
        <f>Passagens!E24</f>
        <v>0</v>
      </c>
      <c r="G24" s="58">
        <f>Passagens!J24</f>
        <v>0</v>
      </c>
      <c r="H24" s="17"/>
      <c r="I24" s="59">
        <f t="shared" si="2"/>
        <v>0</v>
      </c>
      <c r="J24" s="61">
        <f t="shared" si="3"/>
        <v>0</v>
      </c>
      <c r="K24" s="48">
        <f t="shared" si="0"/>
        <v>0</v>
      </c>
      <c r="L24" s="63">
        <f t="shared" si="5"/>
        <v>0</v>
      </c>
      <c r="M24" s="62">
        <f t="shared" si="1"/>
        <v>0</v>
      </c>
      <c r="N24" s="48">
        <f t="shared" si="4"/>
        <v>0</v>
      </c>
      <c r="O24" s="7"/>
    </row>
    <row r="25" spans="1:15" s="5" customFormat="1" x14ac:dyDescent="0.2">
      <c r="A25" s="5">
        <v>19</v>
      </c>
      <c r="B25" s="40">
        <f>'Dados Gerais'!B26</f>
        <v>0</v>
      </c>
      <c r="C25" s="18">
        <f>'Dados Gerais'!G26</f>
        <v>0</v>
      </c>
      <c r="D25" s="12">
        <f>'Dados Gerais'!J26</f>
        <v>0</v>
      </c>
      <c r="E25" s="12" t="s">
        <v>51</v>
      </c>
      <c r="F25" s="45">
        <f>Passagens!E25</f>
        <v>0</v>
      </c>
      <c r="G25" s="58">
        <f>Passagens!J25</f>
        <v>0</v>
      </c>
      <c r="H25" s="17"/>
      <c r="I25" s="59">
        <f t="shared" si="2"/>
        <v>0</v>
      </c>
      <c r="J25" s="61">
        <f t="shared" si="3"/>
        <v>0</v>
      </c>
      <c r="K25" s="48">
        <f t="shared" si="0"/>
        <v>0</v>
      </c>
      <c r="L25" s="63">
        <f t="shared" si="5"/>
        <v>0</v>
      </c>
      <c r="M25" s="62">
        <f t="shared" si="1"/>
        <v>0</v>
      </c>
      <c r="N25" s="48">
        <f t="shared" si="4"/>
        <v>0</v>
      </c>
      <c r="O25" s="7"/>
    </row>
    <row r="26" spans="1:15" s="5" customFormat="1" x14ac:dyDescent="0.2">
      <c r="A26" s="5">
        <v>20</v>
      </c>
      <c r="B26" s="40">
        <f>'Dados Gerais'!B27</f>
        <v>0</v>
      </c>
      <c r="C26" s="18">
        <f>'Dados Gerais'!G27</f>
        <v>0</v>
      </c>
      <c r="D26" s="12">
        <f>'Dados Gerais'!J27</f>
        <v>0</v>
      </c>
      <c r="E26" s="12"/>
      <c r="F26" s="45">
        <f>Passagens!E26</f>
        <v>0</v>
      </c>
      <c r="G26" s="58">
        <f>Passagens!J26</f>
        <v>0</v>
      </c>
      <c r="H26" s="17"/>
      <c r="I26" s="59">
        <f t="shared" si="2"/>
        <v>0</v>
      </c>
      <c r="J26" s="61">
        <f t="shared" si="3"/>
        <v>0</v>
      </c>
      <c r="K26" s="48" t="str">
        <f t="shared" si="0"/>
        <v>0,00</v>
      </c>
      <c r="L26" s="63">
        <f t="shared" si="5"/>
        <v>0</v>
      </c>
      <c r="M26" s="62">
        <f t="shared" si="1"/>
        <v>0</v>
      </c>
      <c r="N26" s="48">
        <f t="shared" si="4"/>
        <v>0</v>
      </c>
      <c r="O26" s="7"/>
    </row>
    <row r="27" spans="1:15" s="5" customFormat="1" x14ac:dyDescent="0.2">
      <c r="A27" s="5">
        <v>21</v>
      </c>
      <c r="B27" s="40">
        <f>'Dados Gerais'!B28</f>
        <v>0</v>
      </c>
      <c r="C27" s="18">
        <f>'Dados Gerais'!G28</f>
        <v>0</v>
      </c>
      <c r="D27" s="12">
        <f>'Dados Gerais'!J28</f>
        <v>0</v>
      </c>
      <c r="E27" s="12"/>
      <c r="F27" s="45">
        <f>Passagens!E27</f>
        <v>0</v>
      </c>
      <c r="G27" s="58">
        <f>Passagens!J27</f>
        <v>0</v>
      </c>
      <c r="H27" s="17"/>
      <c r="I27" s="59">
        <f t="shared" si="2"/>
        <v>0</v>
      </c>
      <c r="J27" s="61">
        <f t="shared" si="3"/>
        <v>0</v>
      </c>
      <c r="K27" s="48" t="str">
        <f t="shared" si="0"/>
        <v>0,00</v>
      </c>
      <c r="L27" s="63">
        <f t="shared" ref="L27:L56" si="6">(K27*J27)</f>
        <v>0</v>
      </c>
      <c r="M27" s="62">
        <f t="shared" si="1"/>
        <v>0</v>
      </c>
      <c r="N27" s="48">
        <f t="shared" si="4"/>
        <v>0</v>
      </c>
      <c r="O27" s="7"/>
    </row>
    <row r="28" spans="1:15" s="5" customFormat="1" x14ac:dyDescent="0.2">
      <c r="A28" s="5">
        <v>22</v>
      </c>
      <c r="B28" s="40">
        <f>'Dados Gerais'!B29</f>
        <v>0</v>
      </c>
      <c r="C28" s="18">
        <f>'Dados Gerais'!G29</f>
        <v>0</v>
      </c>
      <c r="D28" s="12">
        <f>'Dados Gerais'!J29</f>
        <v>0</v>
      </c>
      <c r="E28" s="12"/>
      <c r="F28" s="45">
        <f>Passagens!E28</f>
        <v>0</v>
      </c>
      <c r="G28" s="58">
        <f>Passagens!J28</f>
        <v>0</v>
      </c>
      <c r="H28" s="17"/>
      <c r="I28" s="59">
        <f t="shared" ref="I28:I56" si="7">G28-F28</f>
        <v>0</v>
      </c>
      <c r="J28" s="61">
        <f t="shared" si="3"/>
        <v>0</v>
      </c>
      <c r="K28" s="48" t="str">
        <f t="shared" si="0"/>
        <v>0,00</v>
      </c>
      <c r="L28" s="63">
        <f t="shared" si="6"/>
        <v>0</v>
      </c>
      <c r="M28" s="62">
        <f t="shared" si="1"/>
        <v>0</v>
      </c>
      <c r="N28" s="48">
        <f t="shared" si="4"/>
        <v>0</v>
      </c>
      <c r="O28" s="7"/>
    </row>
    <row r="29" spans="1:15" s="5" customFormat="1" x14ac:dyDescent="0.2">
      <c r="A29" s="5">
        <v>23</v>
      </c>
      <c r="B29" s="40">
        <f>'Dados Gerais'!B30</f>
        <v>0</v>
      </c>
      <c r="C29" s="18">
        <f>'Dados Gerais'!G30</f>
        <v>0</v>
      </c>
      <c r="D29" s="12">
        <f>'Dados Gerais'!J30</f>
        <v>0</v>
      </c>
      <c r="E29" s="12"/>
      <c r="F29" s="45">
        <f>Passagens!E29</f>
        <v>0</v>
      </c>
      <c r="G29" s="58">
        <f>Passagens!J29</f>
        <v>0</v>
      </c>
      <c r="H29" s="17"/>
      <c r="I29" s="59">
        <f t="shared" si="7"/>
        <v>0</v>
      </c>
      <c r="J29" s="61">
        <f t="shared" si="3"/>
        <v>0</v>
      </c>
      <c r="K29" s="48" t="str">
        <f t="shared" si="0"/>
        <v>0,00</v>
      </c>
      <c r="L29" s="63">
        <f t="shared" si="6"/>
        <v>0</v>
      </c>
      <c r="M29" s="62">
        <f t="shared" si="1"/>
        <v>0</v>
      </c>
      <c r="N29" s="48">
        <f t="shared" si="4"/>
        <v>0</v>
      </c>
      <c r="O29" s="7"/>
    </row>
    <row r="30" spans="1:15" s="5" customFormat="1" x14ac:dyDescent="0.2">
      <c r="A30" s="5">
        <v>24</v>
      </c>
      <c r="B30" s="40">
        <f>'Dados Gerais'!B31</f>
        <v>0</v>
      </c>
      <c r="C30" s="18">
        <f>'Dados Gerais'!G31</f>
        <v>0</v>
      </c>
      <c r="D30" s="12">
        <f>'Dados Gerais'!J31</f>
        <v>0</v>
      </c>
      <c r="E30" s="12"/>
      <c r="F30" s="45">
        <f>Passagens!E30</f>
        <v>0</v>
      </c>
      <c r="G30" s="58">
        <f>Passagens!J30</f>
        <v>0</v>
      </c>
      <c r="H30" s="17"/>
      <c r="I30" s="59">
        <f t="shared" si="7"/>
        <v>0</v>
      </c>
      <c r="J30" s="61">
        <f t="shared" si="3"/>
        <v>0</v>
      </c>
      <c r="K30" s="48" t="str">
        <f t="shared" si="0"/>
        <v>0,00</v>
      </c>
      <c r="L30" s="63">
        <f t="shared" si="6"/>
        <v>0</v>
      </c>
      <c r="M30" s="62">
        <f t="shared" si="1"/>
        <v>0</v>
      </c>
      <c r="N30" s="48">
        <f t="shared" si="4"/>
        <v>0</v>
      </c>
      <c r="O30" s="7"/>
    </row>
    <row r="31" spans="1:15" s="5" customFormat="1" x14ac:dyDescent="0.2">
      <c r="A31" s="5">
        <v>25</v>
      </c>
      <c r="B31" s="40">
        <f>'Dados Gerais'!B32</f>
        <v>0</v>
      </c>
      <c r="C31" s="18">
        <f>'Dados Gerais'!G32</f>
        <v>0</v>
      </c>
      <c r="D31" s="12">
        <f>'Dados Gerais'!J32</f>
        <v>0</v>
      </c>
      <c r="E31" s="12"/>
      <c r="F31" s="45">
        <f>Passagens!E31</f>
        <v>0</v>
      </c>
      <c r="G31" s="58">
        <f>Passagens!J31</f>
        <v>0</v>
      </c>
      <c r="H31" s="17"/>
      <c r="I31" s="59">
        <f t="shared" si="7"/>
        <v>0</v>
      </c>
      <c r="J31" s="61">
        <f t="shared" si="3"/>
        <v>0</v>
      </c>
      <c r="K31" s="48" t="str">
        <f t="shared" si="0"/>
        <v>0,00</v>
      </c>
      <c r="L31" s="63">
        <f t="shared" si="6"/>
        <v>0</v>
      </c>
      <c r="M31" s="62">
        <f t="shared" si="1"/>
        <v>0</v>
      </c>
      <c r="N31" s="48">
        <f t="shared" si="4"/>
        <v>0</v>
      </c>
      <c r="O31" s="7"/>
    </row>
    <row r="32" spans="1:15" s="5" customFormat="1" x14ac:dyDescent="0.2">
      <c r="A32" s="5">
        <v>26</v>
      </c>
      <c r="B32" s="40">
        <f>'Dados Gerais'!B33</f>
        <v>0</v>
      </c>
      <c r="C32" s="18">
        <f>'Dados Gerais'!G33</f>
        <v>0</v>
      </c>
      <c r="D32" s="12">
        <f>'Dados Gerais'!J33</f>
        <v>0</v>
      </c>
      <c r="E32" s="12"/>
      <c r="F32" s="45">
        <f>Passagens!E32</f>
        <v>0</v>
      </c>
      <c r="G32" s="58">
        <f>Passagens!J32</f>
        <v>0</v>
      </c>
      <c r="H32" s="17"/>
      <c r="I32" s="59">
        <f t="shared" si="7"/>
        <v>0</v>
      </c>
      <c r="J32" s="61">
        <f t="shared" si="3"/>
        <v>0</v>
      </c>
      <c r="K32" s="48" t="str">
        <f t="shared" si="0"/>
        <v>0,00</v>
      </c>
      <c r="L32" s="63">
        <f t="shared" si="6"/>
        <v>0</v>
      </c>
      <c r="M32" s="62">
        <f t="shared" si="1"/>
        <v>0</v>
      </c>
      <c r="N32" s="48">
        <f t="shared" si="4"/>
        <v>0</v>
      </c>
      <c r="O32" s="7"/>
    </row>
    <row r="33" spans="1:15" s="5" customFormat="1" x14ac:dyDescent="0.2">
      <c r="A33" s="5">
        <v>27</v>
      </c>
      <c r="B33" s="40">
        <f>'Dados Gerais'!B34</f>
        <v>0</v>
      </c>
      <c r="C33" s="18">
        <f>'Dados Gerais'!G34</f>
        <v>0</v>
      </c>
      <c r="D33" s="12">
        <f>'Dados Gerais'!J34</f>
        <v>0</v>
      </c>
      <c r="E33" s="12"/>
      <c r="F33" s="45">
        <f>Passagens!E33</f>
        <v>0</v>
      </c>
      <c r="G33" s="58">
        <f>Passagens!J33</f>
        <v>0</v>
      </c>
      <c r="H33" s="17"/>
      <c r="I33" s="59">
        <f t="shared" si="7"/>
        <v>0</v>
      </c>
      <c r="J33" s="61">
        <f t="shared" si="3"/>
        <v>0</v>
      </c>
      <c r="K33" s="48" t="str">
        <f t="shared" si="0"/>
        <v>0,00</v>
      </c>
      <c r="L33" s="63">
        <f t="shared" si="6"/>
        <v>0</v>
      </c>
      <c r="M33" s="62">
        <f t="shared" si="1"/>
        <v>0</v>
      </c>
      <c r="N33" s="48">
        <f t="shared" si="4"/>
        <v>0</v>
      </c>
      <c r="O33" s="7"/>
    </row>
    <row r="34" spans="1:15" s="5" customFormat="1" x14ac:dyDescent="0.2">
      <c r="A34" s="5">
        <v>28</v>
      </c>
      <c r="B34" s="40">
        <f>'Dados Gerais'!B35</f>
        <v>0</v>
      </c>
      <c r="C34" s="18">
        <f>'Dados Gerais'!G35</f>
        <v>0</v>
      </c>
      <c r="D34" s="12">
        <f>'Dados Gerais'!J35</f>
        <v>0</v>
      </c>
      <c r="E34" s="12"/>
      <c r="F34" s="45">
        <f>Passagens!E34</f>
        <v>0</v>
      </c>
      <c r="G34" s="58">
        <f>Passagens!J34</f>
        <v>0</v>
      </c>
      <c r="H34" s="17"/>
      <c r="I34" s="59">
        <f t="shared" si="7"/>
        <v>0</v>
      </c>
      <c r="J34" s="61">
        <f t="shared" si="3"/>
        <v>0</v>
      </c>
      <c r="K34" s="48" t="str">
        <f t="shared" si="0"/>
        <v>0,00</v>
      </c>
      <c r="L34" s="63">
        <f t="shared" si="6"/>
        <v>0</v>
      </c>
      <c r="M34" s="62">
        <f t="shared" si="1"/>
        <v>0</v>
      </c>
      <c r="N34" s="48">
        <f t="shared" si="4"/>
        <v>0</v>
      </c>
      <c r="O34" s="7"/>
    </row>
    <row r="35" spans="1:15" s="5" customFormat="1" x14ac:dyDescent="0.2">
      <c r="A35" s="5">
        <v>29</v>
      </c>
      <c r="B35" s="40">
        <f>'Dados Gerais'!B36</f>
        <v>0</v>
      </c>
      <c r="C35" s="18">
        <f>'Dados Gerais'!G36</f>
        <v>0</v>
      </c>
      <c r="D35" s="12">
        <f>'Dados Gerais'!J36</f>
        <v>0</v>
      </c>
      <c r="E35" s="12"/>
      <c r="F35" s="45">
        <f>Passagens!E35</f>
        <v>0</v>
      </c>
      <c r="G35" s="58">
        <f>Passagens!J35</f>
        <v>0</v>
      </c>
      <c r="H35" s="17"/>
      <c r="I35" s="59">
        <f t="shared" si="7"/>
        <v>0</v>
      </c>
      <c r="J35" s="61">
        <f t="shared" si="3"/>
        <v>0</v>
      </c>
      <c r="K35" s="48" t="str">
        <f t="shared" si="0"/>
        <v>0,00</v>
      </c>
      <c r="L35" s="63">
        <f t="shared" si="6"/>
        <v>0</v>
      </c>
      <c r="M35" s="62">
        <f t="shared" si="1"/>
        <v>0</v>
      </c>
      <c r="N35" s="48">
        <f t="shared" si="4"/>
        <v>0</v>
      </c>
      <c r="O35" s="7"/>
    </row>
    <row r="36" spans="1:15" s="5" customFormat="1" x14ac:dyDescent="0.2">
      <c r="A36" s="5">
        <v>30</v>
      </c>
      <c r="B36" s="40">
        <f>'Dados Gerais'!B37</f>
        <v>0</v>
      </c>
      <c r="C36" s="18">
        <f>'Dados Gerais'!G37</f>
        <v>0</v>
      </c>
      <c r="D36" s="12">
        <f>'Dados Gerais'!J37</f>
        <v>0</v>
      </c>
      <c r="E36" s="12"/>
      <c r="F36" s="45">
        <f>Passagens!E36</f>
        <v>0</v>
      </c>
      <c r="G36" s="58">
        <f>Passagens!J36</f>
        <v>0</v>
      </c>
      <c r="H36" s="17"/>
      <c r="I36" s="59">
        <f t="shared" si="7"/>
        <v>0</v>
      </c>
      <c r="J36" s="61">
        <f t="shared" si="3"/>
        <v>0</v>
      </c>
      <c r="K36" s="48" t="str">
        <f t="shared" si="0"/>
        <v>0,00</v>
      </c>
      <c r="L36" s="63">
        <f t="shared" si="6"/>
        <v>0</v>
      </c>
      <c r="M36" s="62">
        <f t="shared" si="1"/>
        <v>0</v>
      </c>
      <c r="N36" s="48">
        <f t="shared" si="4"/>
        <v>0</v>
      </c>
      <c r="O36" s="7"/>
    </row>
    <row r="37" spans="1:15" s="5" customFormat="1" x14ac:dyDescent="0.2">
      <c r="A37" s="5">
        <v>31</v>
      </c>
      <c r="B37" s="40">
        <f>'Dados Gerais'!B38</f>
        <v>0</v>
      </c>
      <c r="C37" s="18">
        <f>'Dados Gerais'!G38</f>
        <v>0</v>
      </c>
      <c r="D37" s="12">
        <f>'Dados Gerais'!J38</f>
        <v>0</v>
      </c>
      <c r="E37" s="12"/>
      <c r="F37" s="45">
        <f>Passagens!E37</f>
        <v>0</v>
      </c>
      <c r="G37" s="58">
        <f>Passagens!J37</f>
        <v>0</v>
      </c>
      <c r="H37" s="17"/>
      <c r="I37" s="59">
        <f t="shared" si="7"/>
        <v>0</v>
      </c>
      <c r="J37" s="61">
        <f t="shared" si="3"/>
        <v>0</v>
      </c>
      <c r="K37" s="48" t="str">
        <f t="shared" si="0"/>
        <v>0,00</v>
      </c>
      <c r="L37" s="63">
        <f t="shared" si="6"/>
        <v>0</v>
      </c>
      <c r="M37" s="62">
        <f t="shared" si="1"/>
        <v>0</v>
      </c>
      <c r="N37" s="48">
        <f t="shared" si="4"/>
        <v>0</v>
      </c>
      <c r="O37" s="7"/>
    </row>
    <row r="38" spans="1:15" s="5" customFormat="1" x14ac:dyDescent="0.2">
      <c r="A38" s="5">
        <v>32</v>
      </c>
      <c r="B38" s="40">
        <f>'Dados Gerais'!B39</f>
        <v>0</v>
      </c>
      <c r="C38" s="18">
        <f>'Dados Gerais'!G39</f>
        <v>0</v>
      </c>
      <c r="D38" s="12">
        <f>'Dados Gerais'!J39</f>
        <v>0</v>
      </c>
      <c r="E38" s="12"/>
      <c r="F38" s="45">
        <f>Passagens!E38</f>
        <v>0</v>
      </c>
      <c r="G38" s="58">
        <f>Passagens!J38</f>
        <v>0</v>
      </c>
      <c r="H38" s="17"/>
      <c r="I38" s="59">
        <f t="shared" si="7"/>
        <v>0</v>
      </c>
      <c r="J38" s="61">
        <f t="shared" si="3"/>
        <v>0</v>
      </c>
      <c r="K38" s="48" t="str">
        <f t="shared" si="0"/>
        <v>0,00</v>
      </c>
      <c r="L38" s="63">
        <f t="shared" si="6"/>
        <v>0</v>
      </c>
      <c r="M38" s="62">
        <f t="shared" si="1"/>
        <v>0</v>
      </c>
      <c r="N38" s="48">
        <f t="shared" si="4"/>
        <v>0</v>
      </c>
      <c r="O38" s="7"/>
    </row>
    <row r="39" spans="1:15" s="5" customFormat="1" x14ac:dyDescent="0.2">
      <c r="A39" s="5">
        <v>33</v>
      </c>
      <c r="B39" s="40">
        <f>'Dados Gerais'!B40</f>
        <v>0</v>
      </c>
      <c r="C39" s="18">
        <f>'Dados Gerais'!G40</f>
        <v>0</v>
      </c>
      <c r="D39" s="12">
        <f>'Dados Gerais'!J40</f>
        <v>0</v>
      </c>
      <c r="E39" s="12"/>
      <c r="F39" s="45">
        <f>Passagens!E39</f>
        <v>0</v>
      </c>
      <c r="G39" s="58">
        <f>Passagens!J39</f>
        <v>0</v>
      </c>
      <c r="H39" s="17"/>
      <c r="I39" s="59">
        <f t="shared" si="7"/>
        <v>0</v>
      </c>
      <c r="J39" s="61">
        <f t="shared" si="3"/>
        <v>0</v>
      </c>
      <c r="K39" s="48" t="str">
        <f t="shared" ref="K39:K56" si="8">IF(E39="single", $N$2, IF(E39="double", $N$3, "0,00"))</f>
        <v>0,00</v>
      </c>
      <c r="L39" s="63">
        <f t="shared" si="6"/>
        <v>0</v>
      </c>
      <c r="M39" s="62">
        <f t="shared" ref="M39:M56" si="9">I39-J39</f>
        <v>0</v>
      </c>
      <c r="N39" s="48">
        <f t="shared" si="4"/>
        <v>0</v>
      </c>
      <c r="O39" s="7"/>
    </row>
    <row r="40" spans="1:15" s="5" customFormat="1" x14ac:dyDescent="0.2">
      <c r="A40" s="5">
        <v>34</v>
      </c>
      <c r="B40" s="40">
        <f>'Dados Gerais'!B41</f>
        <v>0</v>
      </c>
      <c r="C40" s="18">
        <f>'Dados Gerais'!G41</f>
        <v>0</v>
      </c>
      <c r="D40" s="12">
        <f>'Dados Gerais'!J41</f>
        <v>0</v>
      </c>
      <c r="E40" s="12"/>
      <c r="F40" s="45">
        <f>Passagens!E40</f>
        <v>0</v>
      </c>
      <c r="G40" s="58">
        <f>Passagens!J40</f>
        <v>0</v>
      </c>
      <c r="H40" s="17"/>
      <c r="I40" s="59">
        <f t="shared" si="7"/>
        <v>0</v>
      </c>
      <c r="J40" s="61">
        <f t="shared" si="3"/>
        <v>0</v>
      </c>
      <c r="K40" s="48" t="str">
        <f t="shared" si="8"/>
        <v>0,00</v>
      </c>
      <c r="L40" s="63">
        <f t="shared" si="6"/>
        <v>0</v>
      </c>
      <c r="M40" s="62">
        <f t="shared" si="9"/>
        <v>0</v>
      </c>
      <c r="N40" s="48">
        <f t="shared" si="4"/>
        <v>0</v>
      </c>
      <c r="O40" s="7"/>
    </row>
    <row r="41" spans="1:15" s="5" customFormat="1" x14ac:dyDescent="0.2">
      <c r="A41" s="5">
        <v>35</v>
      </c>
      <c r="B41" s="40">
        <f>'Dados Gerais'!B42</f>
        <v>0</v>
      </c>
      <c r="C41" s="18">
        <f>'Dados Gerais'!G42</f>
        <v>0</v>
      </c>
      <c r="D41" s="12">
        <f>'Dados Gerais'!J42</f>
        <v>0</v>
      </c>
      <c r="E41" s="12"/>
      <c r="F41" s="45">
        <f>Passagens!E41</f>
        <v>0</v>
      </c>
      <c r="G41" s="58">
        <f>Passagens!J41</f>
        <v>0</v>
      </c>
      <c r="H41" s="17"/>
      <c r="I41" s="59">
        <f t="shared" si="7"/>
        <v>0</v>
      </c>
      <c r="J41" s="61">
        <f t="shared" si="3"/>
        <v>0</v>
      </c>
      <c r="K41" s="48" t="str">
        <f t="shared" si="8"/>
        <v>0,00</v>
      </c>
      <c r="L41" s="63">
        <f t="shared" si="6"/>
        <v>0</v>
      </c>
      <c r="M41" s="62">
        <f t="shared" si="9"/>
        <v>0</v>
      </c>
      <c r="N41" s="48">
        <f t="shared" si="4"/>
        <v>0</v>
      </c>
      <c r="O41" s="7"/>
    </row>
    <row r="42" spans="1:15" s="5" customFormat="1" x14ac:dyDescent="0.2">
      <c r="A42" s="5">
        <v>36</v>
      </c>
      <c r="B42" s="40">
        <f>'Dados Gerais'!B43</f>
        <v>0</v>
      </c>
      <c r="C42" s="18">
        <f>'Dados Gerais'!G43</f>
        <v>0</v>
      </c>
      <c r="D42" s="12">
        <f>'Dados Gerais'!J43</f>
        <v>0</v>
      </c>
      <c r="E42" s="12"/>
      <c r="F42" s="45">
        <f>Passagens!E42</f>
        <v>0</v>
      </c>
      <c r="G42" s="58">
        <f>Passagens!J42</f>
        <v>0</v>
      </c>
      <c r="H42" s="17"/>
      <c r="I42" s="59">
        <f t="shared" si="7"/>
        <v>0</v>
      </c>
      <c r="J42" s="61">
        <f t="shared" si="3"/>
        <v>0</v>
      </c>
      <c r="K42" s="48" t="str">
        <f t="shared" si="8"/>
        <v>0,00</v>
      </c>
      <c r="L42" s="63">
        <f t="shared" si="6"/>
        <v>0</v>
      </c>
      <c r="M42" s="62">
        <f t="shared" si="9"/>
        <v>0</v>
      </c>
      <c r="N42" s="48">
        <f t="shared" si="4"/>
        <v>0</v>
      </c>
      <c r="O42" s="7"/>
    </row>
    <row r="43" spans="1:15" s="5" customFormat="1" x14ac:dyDescent="0.2">
      <c r="A43" s="5">
        <v>37</v>
      </c>
      <c r="B43" s="40">
        <f>'Dados Gerais'!B44</f>
        <v>0</v>
      </c>
      <c r="C43" s="18">
        <f>'Dados Gerais'!G44</f>
        <v>0</v>
      </c>
      <c r="D43" s="12">
        <f>'Dados Gerais'!J44</f>
        <v>0</v>
      </c>
      <c r="E43" s="12"/>
      <c r="F43" s="45">
        <f>Passagens!E43</f>
        <v>0</v>
      </c>
      <c r="G43" s="58">
        <f>Passagens!J43</f>
        <v>0</v>
      </c>
      <c r="H43" s="17"/>
      <c r="I43" s="59">
        <f t="shared" si="7"/>
        <v>0</v>
      </c>
      <c r="J43" s="61">
        <f t="shared" si="3"/>
        <v>0</v>
      </c>
      <c r="K43" s="48" t="str">
        <f t="shared" si="8"/>
        <v>0,00</v>
      </c>
      <c r="L43" s="63">
        <f t="shared" si="6"/>
        <v>0</v>
      </c>
      <c r="M43" s="62">
        <f t="shared" si="9"/>
        <v>0</v>
      </c>
      <c r="N43" s="48">
        <f t="shared" si="4"/>
        <v>0</v>
      </c>
      <c r="O43" s="7"/>
    </row>
    <row r="44" spans="1:15" s="5" customFormat="1" x14ac:dyDescent="0.2">
      <c r="A44" s="5">
        <v>38</v>
      </c>
      <c r="B44" s="40">
        <f>'Dados Gerais'!B45</f>
        <v>0</v>
      </c>
      <c r="C44" s="18">
        <f>'Dados Gerais'!G45</f>
        <v>0</v>
      </c>
      <c r="D44" s="12">
        <f>'Dados Gerais'!J45</f>
        <v>0</v>
      </c>
      <c r="E44" s="12"/>
      <c r="F44" s="45">
        <f>Passagens!E44</f>
        <v>0</v>
      </c>
      <c r="G44" s="58">
        <f>Passagens!J44</f>
        <v>0</v>
      </c>
      <c r="H44" s="17"/>
      <c r="I44" s="59">
        <f t="shared" si="7"/>
        <v>0</v>
      </c>
      <c r="J44" s="61">
        <f t="shared" si="3"/>
        <v>0</v>
      </c>
      <c r="K44" s="48" t="str">
        <f t="shared" si="8"/>
        <v>0,00</v>
      </c>
      <c r="L44" s="63">
        <f t="shared" si="6"/>
        <v>0</v>
      </c>
      <c r="M44" s="62">
        <f t="shared" si="9"/>
        <v>0</v>
      </c>
      <c r="N44" s="48">
        <f t="shared" si="4"/>
        <v>0</v>
      </c>
      <c r="O44" s="7"/>
    </row>
    <row r="45" spans="1:15" s="5" customFormat="1" x14ac:dyDescent="0.2">
      <c r="A45" s="5">
        <v>39</v>
      </c>
      <c r="B45" s="40">
        <f>'Dados Gerais'!B46</f>
        <v>0</v>
      </c>
      <c r="C45" s="18">
        <f>'Dados Gerais'!G46</f>
        <v>0</v>
      </c>
      <c r="D45" s="12">
        <f>'Dados Gerais'!J46</f>
        <v>0</v>
      </c>
      <c r="E45" s="12"/>
      <c r="F45" s="45">
        <f>Passagens!E45</f>
        <v>0</v>
      </c>
      <c r="G45" s="58">
        <f>Passagens!J45</f>
        <v>0</v>
      </c>
      <c r="H45" s="17"/>
      <c r="I45" s="59">
        <f t="shared" si="7"/>
        <v>0</v>
      </c>
      <c r="J45" s="61">
        <f t="shared" si="3"/>
        <v>0</v>
      </c>
      <c r="K45" s="48" t="str">
        <f t="shared" si="8"/>
        <v>0,00</v>
      </c>
      <c r="L45" s="63">
        <f t="shared" si="6"/>
        <v>0</v>
      </c>
      <c r="M45" s="62">
        <f t="shared" si="9"/>
        <v>0</v>
      </c>
      <c r="N45" s="48">
        <f t="shared" si="4"/>
        <v>0</v>
      </c>
      <c r="O45" s="7"/>
    </row>
    <row r="46" spans="1:15" s="5" customFormat="1" x14ac:dyDescent="0.2">
      <c r="A46" s="5">
        <v>40</v>
      </c>
      <c r="B46" s="40">
        <f>'Dados Gerais'!B47</f>
        <v>0</v>
      </c>
      <c r="C46" s="18">
        <f>'Dados Gerais'!G47</f>
        <v>0</v>
      </c>
      <c r="D46" s="12">
        <f>'Dados Gerais'!J47</f>
        <v>0</v>
      </c>
      <c r="E46" s="12"/>
      <c r="F46" s="45">
        <f>Passagens!E46</f>
        <v>0</v>
      </c>
      <c r="G46" s="58">
        <f>Passagens!J46</f>
        <v>0</v>
      </c>
      <c r="H46" s="17"/>
      <c r="I46" s="59">
        <f t="shared" si="7"/>
        <v>0</v>
      </c>
      <c r="J46" s="61">
        <f t="shared" si="3"/>
        <v>0</v>
      </c>
      <c r="K46" s="48" t="str">
        <f t="shared" si="8"/>
        <v>0,00</v>
      </c>
      <c r="L46" s="63">
        <f t="shared" si="6"/>
        <v>0</v>
      </c>
      <c r="M46" s="62">
        <f t="shared" si="9"/>
        <v>0</v>
      </c>
      <c r="N46" s="48">
        <f t="shared" si="4"/>
        <v>0</v>
      </c>
      <c r="O46" s="7"/>
    </row>
    <row r="47" spans="1:15" s="5" customFormat="1" x14ac:dyDescent="0.2">
      <c r="A47" s="5">
        <v>41</v>
      </c>
      <c r="B47" s="40">
        <f>'Dados Gerais'!B48</f>
        <v>0</v>
      </c>
      <c r="C47" s="18">
        <f>'Dados Gerais'!G48</f>
        <v>0</v>
      </c>
      <c r="D47" s="12">
        <f>'Dados Gerais'!J48</f>
        <v>0</v>
      </c>
      <c r="E47" s="12"/>
      <c r="F47" s="45">
        <f>Passagens!E47</f>
        <v>0</v>
      </c>
      <c r="G47" s="58">
        <f>Passagens!J47</f>
        <v>0</v>
      </c>
      <c r="H47" s="17"/>
      <c r="I47" s="59">
        <f t="shared" si="7"/>
        <v>0</v>
      </c>
      <c r="J47" s="61">
        <f t="shared" si="3"/>
        <v>0</v>
      </c>
      <c r="K47" s="48" t="str">
        <f t="shared" si="8"/>
        <v>0,00</v>
      </c>
      <c r="L47" s="63">
        <f t="shared" si="6"/>
        <v>0</v>
      </c>
      <c r="M47" s="62">
        <f t="shared" si="9"/>
        <v>0</v>
      </c>
      <c r="N47" s="48">
        <f t="shared" si="4"/>
        <v>0</v>
      </c>
      <c r="O47" s="7"/>
    </row>
    <row r="48" spans="1:15" s="5" customFormat="1" x14ac:dyDescent="0.2">
      <c r="A48" s="5">
        <v>42</v>
      </c>
      <c r="B48" s="40">
        <f>'Dados Gerais'!B49</f>
        <v>0</v>
      </c>
      <c r="C48" s="18">
        <f>'Dados Gerais'!G49</f>
        <v>0</v>
      </c>
      <c r="D48" s="12">
        <f>'Dados Gerais'!J49</f>
        <v>0</v>
      </c>
      <c r="E48" s="12"/>
      <c r="F48" s="45">
        <f>Passagens!E48</f>
        <v>0</v>
      </c>
      <c r="G48" s="58">
        <f>Passagens!J48</f>
        <v>0</v>
      </c>
      <c r="H48" s="17"/>
      <c r="I48" s="59">
        <f t="shared" si="7"/>
        <v>0</v>
      </c>
      <c r="J48" s="61">
        <f t="shared" si="3"/>
        <v>0</v>
      </c>
      <c r="K48" s="48" t="str">
        <f t="shared" si="8"/>
        <v>0,00</v>
      </c>
      <c r="L48" s="63">
        <f t="shared" si="6"/>
        <v>0</v>
      </c>
      <c r="M48" s="62">
        <f t="shared" si="9"/>
        <v>0</v>
      </c>
      <c r="N48" s="48">
        <f t="shared" si="4"/>
        <v>0</v>
      </c>
      <c r="O48" s="7"/>
    </row>
    <row r="49" spans="1:15" s="5" customFormat="1" x14ac:dyDescent="0.2">
      <c r="A49" s="5">
        <v>43</v>
      </c>
      <c r="B49" s="40">
        <f>'Dados Gerais'!B50</f>
        <v>0</v>
      </c>
      <c r="C49" s="18">
        <f>'Dados Gerais'!G50</f>
        <v>0</v>
      </c>
      <c r="D49" s="12">
        <f>'Dados Gerais'!J50</f>
        <v>0</v>
      </c>
      <c r="E49" s="12"/>
      <c r="F49" s="45">
        <f>Passagens!E49</f>
        <v>0</v>
      </c>
      <c r="G49" s="58">
        <f>Passagens!J49</f>
        <v>0</v>
      </c>
      <c r="H49" s="17"/>
      <c r="I49" s="59">
        <f t="shared" si="7"/>
        <v>0</v>
      </c>
      <c r="J49" s="61">
        <f t="shared" si="3"/>
        <v>0</v>
      </c>
      <c r="K49" s="48" t="str">
        <f t="shared" si="8"/>
        <v>0,00</v>
      </c>
      <c r="L49" s="63">
        <f t="shared" si="6"/>
        <v>0</v>
      </c>
      <c r="M49" s="62">
        <f t="shared" si="9"/>
        <v>0</v>
      </c>
      <c r="N49" s="48">
        <f t="shared" si="4"/>
        <v>0</v>
      </c>
      <c r="O49" s="7"/>
    </row>
    <row r="50" spans="1:15" s="5" customFormat="1" x14ac:dyDescent="0.2">
      <c r="A50" s="5">
        <v>44</v>
      </c>
      <c r="B50" s="40">
        <f>'Dados Gerais'!B51</f>
        <v>0</v>
      </c>
      <c r="C50" s="18">
        <f>'Dados Gerais'!G51</f>
        <v>0</v>
      </c>
      <c r="D50" s="12">
        <f>'Dados Gerais'!J51</f>
        <v>0</v>
      </c>
      <c r="E50" s="12"/>
      <c r="F50" s="45">
        <f>Passagens!E50</f>
        <v>0</v>
      </c>
      <c r="G50" s="58">
        <f>Passagens!J50</f>
        <v>0</v>
      </c>
      <c r="H50" s="17"/>
      <c r="I50" s="59">
        <f t="shared" si="7"/>
        <v>0</v>
      </c>
      <c r="J50" s="61">
        <f t="shared" si="3"/>
        <v>0</v>
      </c>
      <c r="K50" s="48" t="str">
        <f t="shared" si="8"/>
        <v>0,00</v>
      </c>
      <c r="L50" s="63">
        <f t="shared" si="6"/>
        <v>0</v>
      </c>
      <c r="M50" s="62">
        <f t="shared" si="9"/>
        <v>0</v>
      </c>
      <c r="N50" s="48">
        <f t="shared" si="4"/>
        <v>0</v>
      </c>
      <c r="O50" s="7"/>
    </row>
    <row r="51" spans="1:15" s="5" customFormat="1" x14ac:dyDescent="0.2">
      <c r="A51" s="5">
        <v>45</v>
      </c>
      <c r="B51" s="40">
        <f>'Dados Gerais'!B52</f>
        <v>0</v>
      </c>
      <c r="C51" s="18">
        <f>'Dados Gerais'!G52</f>
        <v>0</v>
      </c>
      <c r="D51" s="12">
        <f>'Dados Gerais'!J52</f>
        <v>0</v>
      </c>
      <c r="E51" s="12"/>
      <c r="F51" s="45">
        <f>Passagens!E51</f>
        <v>0</v>
      </c>
      <c r="G51" s="58">
        <f>Passagens!J51</f>
        <v>0</v>
      </c>
      <c r="H51" s="17"/>
      <c r="I51" s="59">
        <f t="shared" si="7"/>
        <v>0</v>
      </c>
      <c r="J51" s="61">
        <f t="shared" si="3"/>
        <v>0</v>
      </c>
      <c r="K51" s="48" t="str">
        <f t="shared" si="8"/>
        <v>0,00</v>
      </c>
      <c r="L51" s="63">
        <f t="shared" si="6"/>
        <v>0</v>
      </c>
      <c r="M51" s="62">
        <f t="shared" si="9"/>
        <v>0</v>
      </c>
      <c r="N51" s="48">
        <f t="shared" si="4"/>
        <v>0</v>
      </c>
      <c r="O51" s="7"/>
    </row>
    <row r="52" spans="1:15" s="5" customFormat="1" x14ac:dyDescent="0.2">
      <c r="A52" s="5">
        <v>46</v>
      </c>
      <c r="B52" s="40">
        <f>'Dados Gerais'!B53</f>
        <v>0</v>
      </c>
      <c r="C52" s="18">
        <f>'Dados Gerais'!G53</f>
        <v>0</v>
      </c>
      <c r="D52" s="12">
        <f>'Dados Gerais'!J53</f>
        <v>0</v>
      </c>
      <c r="E52" s="12"/>
      <c r="F52" s="45">
        <f>Passagens!E52</f>
        <v>0</v>
      </c>
      <c r="G52" s="58">
        <f>Passagens!J52</f>
        <v>0</v>
      </c>
      <c r="H52" s="17"/>
      <c r="I52" s="59">
        <f t="shared" si="7"/>
        <v>0</v>
      </c>
      <c r="J52" s="61">
        <f t="shared" si="3"/>
        <v>0</v>
      </c>
      <c r="K52" s="48" t="str">
        <f t="shared" si="8"/>
        <v>0,00</v>
      </c>
      <c r="L52" s="63">
        <f t="shared" si="6"/>
        <v>0</v>
      </c>
      <c r="M52" s="62">
        <f t="shared" si="9"/>
        <v>0</v>
      </c>
      <c r="N52" s="48">
        <f t="shared" si="4"/>
        <v>0</v>
      </c>
      <c r="O52" s="7"/>
    </row>
    <row r="53" spans="1:15" s="5" customFormat="1" x14ac:dyDescent="0.2">
      <c r="A53" s="5">
        <v>47</v>
      </c>
      <c r="B53" s="40">
        <f>'Dados Gerais'!B54</f>
        <v>0</v>
      </c>
      <c r="C53" s="18">
        <f>'Dados Gerais'!G54</f>
        <v>0</v>
      </c>
      <c r="D53" s="12">
        <f>'Dados Gerais'!J54</f>
        <v>0</v>
      </c>
      <c r="E53" s="12"/>
      <c r="F53" s="45">
        <f>Passagens!E53</f>
        <v>0</v>
      </c>
      <c r="G53" s="58">
        <f>Passagens!J53</f>
        <v>0</v>
      </c>
      <c r="H53" s="17"/>
      <c r="I53" s="59">
        <f t="shared" si="7"/>
        <v>0</v>
      </c>
      <c r="J53" s="61">
        <f t="shared" si="3"/>
        <v>0</v>
      </c>
      <c r="K53" s="48" t="str">
        <f t="shared" si="8"/>
        <v>0,00</v>
      </c>
      <c r="L53" s="63">
        <f t="shared" si="6"/>
        <v>0</v>
      </c>
      <c r="M53" s="62">
        <f t="shared" si="9"/>
        <v>0</v>
      </c>
      <c r="N53" s="48">
        <f t="shared" si="4"/>
        <v>0</v>
      </c>
      <c r="O53" s="7"/>
    </row>
    <row r="54" spans="1:15" s="5" customFormat="1" x14ac:dyDescent="0.2">
      <c r="A54" s="5">
        <v>48</v>
      </c>
      <c r="B54" s="40">
        <f>'Dados Gerais'!B55</f>
        <v>0</v>
      </c>
      <c r="C54" s="18">
        <f>'Dados Gerais'!G55</f>
        <v>0</v>
      </c>
      <c r="D54" s="12">
        <f>'Dados Gerais'!J55</f>
        <v>0</v>
      </c>
      <c r="E54" s="12"/>
      <c r="F54" s="45">
        <f>Passagens!E54</f>
        <v>0</v>
      </c>
      <c r="G54" s="58">
        <f>Passagens!J54</f>
        <v>0</v>
      </c>
      <c r="H54" s="17"/>
      <c r="I54" s="59">
        <f t="shared" si="7"/>
        <v>0</v>
      </c>
      <c r="J54" s="61">
        <f t="shared" si="3"/>
        <v>0</v>
      </c>
      <c r="K54" s="48" t="str">
        <f t="shared" si="8"/>
        <v>0,00</v>
      </c>
      <c r="L54" s="63">
        <f t="shared" si="6"/>
        <v>0</v>
      </c>
      <c r="M54" s="62">
        <f t="shared" si="9"/>
        <v>0</v>
      </c>
      <c r="N54" s="48">
        <f t="shared" si="4"/>
        <v>0</v>
      </c>
      <c r="O54" s="7"/>
    </row>
    <row r="55" spans="1:15" s="5" customFormat="1" x14ac:dyDescent="0.2">
      <c r="A55" s="5">
        <v>49</v>
      </c>
      <c r="B55" s="40">
        <f>'Dados Gerais'!B56</f>
        <v>0</v>
      </c>
      <c r="C55" s="18">
        <f>'Dados Gerais'!G56</f>
        <v>0</v>
      </c>
      <c r="D55" s="12">
        <f>'Dados Gerais'!J56</f>
        <v>0</v>
      </c>
      <c r="E55" s="12"/>
      <c r="F55" s="45">
        <f>Passagens!E55</f>
        <v>0</v>
      </c>
      <c r="G55" s="58">
        <f>Passagens!J55</f>
        <v>0</v>
      </c>
      <c r="H55" s="17"/>
      <c r="I55" s="59">
        <f t="shared" si="7"/>
        <v>0</v>
      </c>
      <c r="J55" s="61">
        <f t="shared" si="3"/>
        <v>0</v>
      </c>
      <c r="K55" s="48" t="str">
        <f t="shared" si="8"/>
        <v>0,00</v>
      </c>
      <c r="L55" s="63">
        <f t="shared" si="6"/>
        <v>0</v>
      </c>
      <c r="M55" s="62">
        <f t="shared" si="9"/>
        <v>0</v>
      </c>
      <c r="N55" s="48">
        <f t="shared" si="4"/>
        <v>0</v>
      </c>
      <c r="O55" s="7"/>
    </row>
    <row r="56" spans="1:15" s="5" customFormat="1" x14ac:dyDescent="0.2">
      <c r="A56" s="5">
        <v>50</v>
      </c>
      <c r="B56" s="40">
        <f>'Dados Gerais'!B57</f>
        <v>0</v>
      </c>
      <c r="C56" s="18">
        <f>'Dados Gerais'!G57</f>
        <v>0</v>
      </c>
      <c r="D56" s="12">
        <f>'Dados Gerais'!J57</f>
        <v>0</v>
      </c>
      <c r="E56" s="12"/>
      <c r="F56" s="45">
        <f>Passagens!E56</f>
        <v>0</v>
      </c>
      <c r="G56" s="58">
        <f>Passagens!J56</f>
        <v>0</v>
      </c>
      <c r="H56" s="17"/>
      <c r="I56" s="59">
        <f t="shared" si="7"/>
        <v>0</v>
      </c>
      <c r="J56" s="61">
        <f t="shared" si="3"/>
        <v>0</v>
      </c>
      <c r="K56" s="48" t="str">
        <f t="shared" si="8"/>
        <v>0,00</v>
      </c>
      <c r="L56" s="63">
        <f t="shared" si="6"/>
        <v>0</v>
      </c>
      <c r="M56" s="62">
        <f t="shared" si="9"/>
        <v>0</v>
      </c>
      <c r="N56" s="48">
        <f t="shared" si="4"/>
        <v>0</v>
      </c>
      <c r="O56" s="7"/>
    </row>
    <row r="57" spans="1:15" s="5" customFormat="1" x14ac:dyDescent="0.2">
      <c r="K57" s="22"/>
      <c r="L57" s="22">
        <f>SUM(L7:L56)</f>
        <v>0</v>
      </c>
    </row>
    <row r="58" spans="1:15" s="5" customFormat="1" x14ac:dyDescent="0.2"/>
    <row r="59" spans="1:15" s="5" customFormat="1" x14ac:dyDescent="0.2"/>
    <row r="60" spans="1:15" s="5" customFormat="1" x14ac:dyDescent="0.2"/>
    <row r="61" spans="1:15" s="5" customFormat="1" x14ac:dyDescent="0.2"/>
    <row r="62" spans="1:15" s="5" customFormat="1" x14ac:dyDescent="0.2"/>
    <row r="63" spans="1:15" s="5" customFormat="1" x14ac:dyDescent="0.2"/>
    <row r="64" spans="1:15" s="5" customFormat="1" x14ac:dyDescent="0.2"/>
    <row r="65" s="5" customFormat="1" x14ac:dyDescent="0.2"/>
    <row r="66" s="5" customFormat="1" x14ac:dyDescent="0.2"/>
    <row r="67" s="5" customFormat="1" x14ac:dyDescent="0.2"/>
    <row r="68" s="5" customFormat="1" x14ac:dyDescent="0.2"/>
    <row r="69" s="5" customFormat="1" x14ac:dyDescent="0.2"/>
    <row r="70" s="5" customFormat="1" x14ac:dyDescent="0.2"/>
    <row r="71" s="5" customFormat="1" x14ac:dyDescent="0.2"/>
    <row r="72" s="5" customFormat="1" x14ac:dyDescent="0.2"/>
    <row r="73" s="5" customFormat="1" x14ac:dyDescent="0.2"/>
    <row r="74" s="5" customFormat="1" x14ac:dyDescent="0.2"/>
    <row r="75" s="5" customFormat="1" x14ac:dyDescent="0.2"/>
    <row r="76" s="5" customFormat="1" x14ac:dyDescent="0.2"/>
    <row r="77" s="5" customFormat="1" x14ac:dyDescent="0.2"/>
    <row r="78" s="5" customFormat="1" x14ac:dyDescent="0.2"/>
    <row r="79" s="5" customFormat="1" x14ac:dyDescent="0.2"/>
    <row r="80" s="5" customFormat="1" x14ac:dyDescent="0.2"/>
    <row r="81" s="5" customFormat="1" x14ac:dyDescent="0.2"/>
    <row r="82" s="5" customFormat="1" x14ac:dyDescent="0.2"/>
    <row r="83" s="5" customFormat="1" x14ac:dyDescent="0.2"/>
    <row r="84" s="5" customFormat="1" x14ac:dyDescent="0.2"/>
    <row r="85" s="5" customFormat="1" x14ac:dyDescent="0.2"/>
    <row r="86" s="5" customFormat="1" x14ac:dyDescent="0.2"/>
    <row r="87" s="5" customFormat="1" x14ac:dyDescent="0.2"/>
    <row r="88" s="5" customFormat="1" x14ac:dyDescent="0.2"/>
    <row r="89" s="5" customFormat="1" x14ac:dyDescent="0.2"/>
    <row r="90" s="5" customFormat="1" x14ac:dyDescent="0.2"/>
    <row r="91" s="5" customFormat="1" x14ac:dyDescent="0.2"/>
    <row r="92" s="5" customFormat="1" x14ac:dyDescent="0.2"/>
    <row r="93" s="5" customFormat="1" x14ac:dyDescent="0.2"/>
    <row r="94" s="5" customFormat="1" x14ac:dyDescent="0.2"/>
    <row r="95" s="5" customFormat="1" x14ac:dyDescent="0.2"/>
    <row r="96" s="5" customFormat="1" x14ac:dyDescent="0.2"/>
    <row r="97" spans="1:1" s="5" customFormat="1" x14ac:dyDescent="0.2"/>
    <row r="98" spans="1:1" s="5" customFormat="1" x14ac:dyDescent="0.2"/>
    <row r="99" spans="1:1" s="5" customFormat="1" x14ac:dyDescent="0.2"/>
    <row r="100" spans="1:1" s="5" customFormat="1" x14ac:dyDescent="0.2"/>
    <row r="101" spans="1:1" s="5" customFormat="1" x14ac:dyDescent="0.2"/>
    <row r="102" spans="1:1" s="5" customFormat="1" x14ac:dyDescent="0.2">
      <c r="A102" s="2"/>
    </row>
    <row r="103" spans="1:1" s="5" customFormat="1" x14ac:dyDescent="0.2">
      <c r="A103" s="2"/>
    </row>
    <row r="104" spans="1:1" s="5" customFormat="1" x14ac:dyDescent="0.2">
      <c r="A104" s="2"/>
    </row>
    <row r="105" spans="1:1" s="5" customFormat="1" x14ac:dyDescent="0.2">
      <c r="A105" s="2"/>
    </row>
    <row r="106" spans="1:1" s="5" customFormat="1" x14ac:dyDescent="0.2">
      <c r="A106" s="2"/>
    </row>
    <row r="107" spans="1:1" s="5" customFormat="1" x14ac:dyDescent="0.2">
      <c r="A107" s="2"/>
    </row>
    <row r="108" spans="1:1" s="5" customFormat="1" x14ac:dyDescent="0.2">
      <c r="A108" s="2"/>
    </row>
    <row r="109" spans="1:1" s="5" customFormat="1" x14ac:dyDescent="0.2">
      <c r="A109" s="2"/>
    </row>
    <row r="110" spans="1:1" s="5" customFormat="1" x14ac:dyDescent="0.2">
      <c r="A110" s="2"/>
    </row>
    <row r="111" spans="1:1" s="5" customFormat="1" x14ac:dyDescent="0.2">
      <c r="A111" s="2"/>
    </row>
  </sheetData>
  <mergeCells count="9">
    <mergeCell ref="B5:D5"/>
    <mergeCell ref="F5:J5"/>
    <mergeCell ref="K5:N5"/>
    <mergeCell ref="K1:N1"/>
    <mergeCell ref="C1:J1"/>
    <mergeCell ref="C2:J2"/>
    <mergeCell ref="K2:M2"/>
    <mergeCell ref="C3:J3"/>
    <mergeCell ref="K3:M3"/>
  </mergeCells>
  <conditionalFormatting sqref="B6:O6">
    <cfRule type="expression" dxfId="3" priority="1" stopIfTrue="1">
      <formula>MOD(ROW(),2) = 0</formula>
    </cfRule>
  </conditionalFormatting>
  <dataValidations count="1">
    <dataValidation type="list" allowBlank="1" showInputMessage="1" showErrorMessage="1" sqref="E7:E56" xr:uid="{00000000-0002-0000-0200-000000000000}">
      <formula1>"Single, Double, Triplo"</formula1>
    </dataValidation>
  </dataValidations>
  <pageMargins left="0.511811024" right="0.511811024" top="0.78740157499999996" bottom="0.78740157499999996" header="0.31496062000000002" footer="0.31496062000000002"/>
  <pageSetup paperSize="9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J24"/>
  <sheetViews>
    <sheetView showGridLines="0" workbookViewId="0">
      <selection activeCell="H8" sqref="H8:J8"/>
    </sheetView>
  </sheetViews>
  <sheetFormatPr defaultRowHeight="15" x14ac:dyDescent="0.25"/>
  <cols>
    <col min="1" max="1" width="4.28515625" customWidth="1"/>
    <col min="2" max="2" width="12.28515625" bestFit="1" customWidth="1"/>
    <col min="3" max="3" width="14.5703125" bestFit="1" customWidth="1"/>
    <col min="4" max="4" width="20.140625" customWidth="1"/>
    <col min="5" max="5" width="14.28515625" bestFit="1" customWidth="1"/>
    <col min="6" max="7" width="13.5703125" customWidth="1"/>
    <col min="8" max="9" width="12.140625" bestFit="1" customWidth="1"/>
    <col min="10" max="10" width="30.28515625" customWidth="1"/>
  </cols>
  <sheetData>
    <row r="1" spans="2:10" x14ac:dyDescent="0.25">
      <c r="B1" s="41" t="s">
        <v>29</v>
      </c>
      <c r="C1" s="93">
        <f>'Dados Gerais'!C2:J2</f>
        <v>0</v>
      </c>
      <c r="D1" s="94"/>
      <c r="E1" s="94"/>
      <c r="F1" s="94"/>
      <c r="G1" s="94"/>
      <c r="H1" s="94"/>
      <c r="I1" s="94"/>
      <c r="J1" s="95"/>
    </row>
    <row r="2" spans="2:10" x14ac:dyDescent="0.25">
      <c r="B2" s="41" t="s">
        <v>30</v>
      </c>
      <c r="C2" s="93">
        <f>'Dados Gerais'!C3:J3</f>
        <v>0</v>
      </c>
      <c r="D2" s="94"/>
      <c r="E2" s="94"/>
      <c r="F2" s="94"/>
      <c r="G2" s="94"/>
      <c r="H2" s="94"/>
      <c r="I2" s="94"/>
      <c r="J2" s="95"/>
    </row>
    <row r="3" spans="2:10" ht="15" customHeight="1" x14ac:dyDescent="0.25">
      <c r="B3" s="41" t="s">
        <v>31</v>
      </c>
      <c r="C3" s="93">
        <f>'Dados Gerais'!C4:J4</f>
        <v>0</v>
      </c>
      <c r="D3" s="94"/>
      <c r="E3" s="94"/>
      <c r="F3" s="94"/>
      <c r="G3" s="94"/>
      <c r="H3" s="94"/>
      <c r="I3" s="94"/>
      <c r="J3" s="95"/>
    </row>
    <row r="6" spans="2:10" ht="15" customHeight="1" x14ac:dyDescent="0.25">
      <c r="B6" s="116" t="s">
        <v>58</v>
      </c>
      <c r="C6" s="116"/>
      <c r="D6" s="116"/>
      <c r="E6" s="116"/>
      <c r="F6" s="116"/>
      <c r="G6" s="116"/>
      <c r="H6" s="116"/>
      <c r="I6" s="116"/>
      <c r="J6" s="116"/>
    </row>
    <row r="7" spans="2:10" x14ac:dyDescent="0.25">
      <c r="B7" s="110" t="s">
        <v>59</v>
      </c>
      <c r="C7" s="111"/>
      <c r="D7" s="112"/>
      <c r="E7" s="65" t="s">
        <v>60</v>
      </c>
      <c r="F7" s="65" t="s">
        <v>61</v>
      </c>
      <c r="G7" s="65" t="s">
        <v>62</v>
      </c>
      <c r="H7" s="110" t="s">
        <v>36</v>
      </c>
      <c r="I7" s="111"/>
      <c r="J7" s="112"/>
    </row>
    <row r="8" spans="2:10" x14ac:dyDescent="0.25">
      <c r="B8" s="113" t="s">
        <v>64</v>
      </c>
      <c r="C8" s="114"/>
      <c r="D8" s="115"/>
      <c r="E8" s="18"/>
      <c r="F8" s="68"/>
      <c r="G8" s="68">
        <f>E8*F8</f>
        <v>0</v>
      </c>
      <c r="H8" s="117"/>
      <c r="I8" s="118"/>
      <c r="J8" s="119"/>
    </row>
    <row r="9" spans="2:10" x14ac:dyDescent="0.25">
      <c r="B9" s="113" t="s">
        <v>21</v>
      </c>
      <c r="C9" s="114"/>
      <c r="D9" s="115"/>
      <c r="E9" s="18"/>
      <c r="F9" s="69"/>
      <c r="G9" s="68">
        <f t="shared" ref="G9:G23" si="0">E9*F9</f>
        <v>0</v>
      </c>
      <c r="H9" s="117"/>
      <c r="I9" s="118"/>
      <c r="J9" s="119"/>
    </row>
    <row r="10" spans="2:10" x14ac:dyDescent="0.25">
      <c r="B10" s="113" t="s">
        <v>22</v>
      </c>
      <c r="C10" s="114"/>
      <c r="D10" s="115"/>
      <c r="E10" s="18"/>
      <c r="F10" s="70"/>
      <c r="G10" s="68">
        <f t="shared" si="0"/>
        <v>0</v>
      </c>
      <c r="H10" s="117"/>
      <c r="I10" s="118"/>
      <c r="J10" s="119"/>
    </row>
    <row r="11" spans="2:10" x14ac:dyDescent="0.25">
      <c r="B11" s="113" t="s">
        <v>28</v>
      </c>
      <c r="C11" s="114"/>
      <c r="D11" s="115"/>
      <c r="E11" s="18"/>
      <c r="F11" s="70"/>
      <c r="G11" s="68">
        <f t="shared" si="0"/>
        <v>0</v>
      </c>
      <c r="H11" s="117"/>
      <c r="I11" s="118"/>
      <c r="J11" s="119"/>
    </row>
    <row r="12" spans="2:10" x14ac:dyDescent="0.25">
      <c r="B12" s="113" t="s">
        <v>65</v>
      </c>
      <c r="C12" s="114"/>
      <c r="D12" s="115"/>
      <c r="E12" s="18"/>
      <c r="F12" s="70"/>
      <c r="G12" s="68">
        <f t="shared" si="0"/>
        <v>0</v>
      </c>
      <c r="H12" s="117"/>
      <c r="I12" s="118"/>
      <c r="J12" s="119"/>
    </row>
    <row r="13" spans="2:10" x14ac:dyDescent="0.25">
      <c r="B13" s="113" t="s">
        <v>7</v>
      </c>
      <c r="C13" s="114"/>
      <c r="D13" s="115"/>
      <c r="E13" s="18"/>
      <c r="F13" s="70"/>
      <c r="G13" s="68">
        <f t="shared" si="0"/>
        <v>0</v>
      </c>
      <c r="H13" s="117"/>
      <c r="I13" s="118"/>
      <c r="J13" s="119"/>
    </row>
    <row r="14" spans="2:10" x14ac:dyDescent="0.25">
      <c r="B14" s="113" t="s">
        <v>13</v>
      </c>
      <c r="C14" s="114"/>
      <c r="D14" s="115"/>
      <c r="E14" s="18"/>
      <c r="F14" s="70"/>
      <c r="G14" s="68">
        <f t="shared" si="0"/>
        <v>0</v>
      </c>
      <c r="H14" s="117"/>
      <c r="I14" s="118"/>
      <c r="J14" s="119"/>
    </row>
    <row r="15" spans="2:10" x14ac:dyDescent="0.25">
      <c r="B15" s="113"/>
      <c r="C15" s="114"/>
      <c r="D15" s="115"/>
      <c r="E15" s="18"/>
      <c r="F15" s="70"/>
      <c r="G15" s="68">
        <f t="shared" si="0"/>
        <v>0</v>
      </c>
      <c r="H15" s="117"/>
      <c r="I15" s="118"/>
      <c r="J15" s="119"/>
    </row>
    <row r="16" spans="2:10" x14ac:dyDescent="0.25">
      <c r="B16" s="113"/>
      <c r="C16" s="114"/>
      <c r="D16" s="115"/>
      <c r="E16" s="18"/>
      <c r="F16" s="70"/>
      <c r="G16" s="68">
        <f t="shared" si="0"/>
        <v>0</v>
      </c>
      <c r="H16" s="117"/>
      <c r="I16" s="118"/>
      <c r="J16" s="119"/>
    </row>
    <row r="17" spans="2:10" x14ac:dyDescent="0.25">
      <c r="B17" s="113"/>
      <c r="C17" s="114"/>
      <c r="D17" s="115"/>
      <c r="E17" s="18"/>
      <c r="F17" s="70"/>
      <c r="G17" s="68">
        <f t="shared" si="0"/>
        <v>0</v>
      </c>
      <c r="H17" s="117"/>
      <c r="I17" s="118"/>
      <c r="J17" s="119"/>
    </row>
    <row r="18" spans="2:10" x14ac:dyDescent="0.25">
      <c r="B18" s="113"/>
      <c r="C18" s="114"/>
      <c r="D18" s="115"/>
      <c r="E18" s="18"/>
      <c r="F18" s="70"/>
      <c r="G18" s="68">
        <f t="shared" si="0"/>
        <v>0</v>
      </c>
      <c r="H18" s="117"/>
      <c r="I18" s="118"/>
      <c r="J18" s="119"/>
    </row>
    <row r="19" spans="2:10" x14ac:dyDescent="0.25">
      <c r="B19" s="113"/>
      <c r="C19" s="114"/>
      <c r="D19" s="115"/>
      <c r="E19" s="18"/>
      <c r="F19" s="70"/>
      <c r="G19" s="68">
        <f t="shared" si="0"/>
        <v>0</v>
      </c>
      <c r="H19" s="117"/>
      <c r="I19" s="118"/>
      <c r="J19" s="119"/>
    </row>
    <row r="20" spans="2:10" x14ac:dyDescent="0.25">
      <c r="B20" s="113"/>
      <c r="C20" s="114"/>
      <c r="D20" s="115"/>
      <c r="E20" s="18"/>
      <c r="F20" s="70"/>
      <c r="G20" s="68">
        <f t="shared" si="0"/>
        <v>0</v>
      </c>
      <c r="H20" s="117"/>
      <c r="I20" s="118"/>
      <c r="J20" s="119"/>
    </row>
    <row r="21" spans="2:10" x14ac:dyDescent="0.25">
      <c r="B21" s="113"/>
      <c r="C21" s="114"/>
      <c r="D21" s="115"/>
      <c r="E21" s="18"/>
      <c r="F21" s="70"/>
      <c r="G21" s="68">
        <f t="shared" si="0"/>
        <v>0</v>
      </c>
      <c r="H21" s="117"/>
      <c r="I21" s="118"/>
      <c r="J21" s="119"/>
    </row>
    <row r="22" spans="2:10" x14ac:dyDescent="0.25">
      <c r="B22" s="113"/>
      <c r="C22" s="114"/>
      <c r="D22" s="115"/>
      <c r="E22" s="18"/>
      <c r="F22" s="70"/>
      <c r="G22" s="68">
        <f t="shared" si="0"/>
        <v>0</v>
      </c>
      <c r="H22" s="117"/>
      <c r="I22" s="118"/>
      <c r="J22" s="119"/>
    </row>
    <row r="23" spans="2:10" x14ac:dyDescent="0.25">
      <c r="B23" s="113"/>
      <c r="C23" s="114"/>
      <c r="D23" s="115"/>
      <c r="E23" s="18"/>
      <c r="F23" s="70"/>
      <c r="G23" s="68">
        <f t="shared" si="0"/>
        <v>0</v>
      </c>
      <c r="H23" s="117"/>
      <c r="I23" s="118"/>
      <c r="J23" s="119"/>
    </row>
    <row r="24" spans="2:10" x14ac:dyDescent="0.25">
      <c r="F24" s="66" t="s">
        <v>63</v>
      </c>
      <c r="G24" s="67">
        <f>SUM(G8:G23)</f>
        <v>0</v>
      </c>
    </row>
  </sheetData>
  <mergeCells count="38">
    <mergeCell ref="H19:J19"/>
    <mergeCell ref="H20:J20"/>
    <mergeCell ref="H21:J21"/>
    <mergeCell ref="H22:J22"/>
    <mergeCell ref="H23:J23"/>
    <mergeCell ref="B20:D20"/>
    <mergeCell ref="B21:D21"/>
    <mergeCell ref="B22:D22"/>
    <mergeCell ref="B23:D23"/>
    <mergeCell ref="H7:J7"/>
    <mergeCell ref="H8:J8"/>
    <mergeCell ref="H9:J9"/>
    <mergeCell ref="H10:J10"/>
    <mergeCell ref="H11:J11"/>
    <mergeCell ref="H12:J12"/>
    <mergeCell ref="H13:J13"/>
    <mergeCell ref="H14:J14"/>
    <mergeCell ref="H15:J15"/>
    <mergeCell ref="H16:J16"/>
    <mergeCell ref="H17:J17"/>
    <mergeCell ref="H18:J18"/>
    <mergeCell ref="B15:D15"/>
    <mergeCell ref="B16:D16"/>
    <mergeCell ref="B17:D17"/>
    <mergeCell ref="B18:D18"/>
    <mergeCell ref="B19:D19"/>
    <mergeCell ref="B10:D10"/>
    <mergeCell ref="B11:D11"/>
    <mergeCell ref="B12:D12"/>
    <mergeCell ref="B13:D13"/>
    <mergeCell ref="B14:D14"/>
    <mergeCell ref="B7:D7"/>
    <mergeCell ref="B8:D8"/>
    <mergeCell ref="B9:D9"/>
    <mergeCell ref="C1:J1"/>
    <mergeCell ref="C2:J2"/>
    <mergeCell ref="C3:J3"/>
    <mergeCell ref="B6:J6"/>
  </mergeCells>
  <dataValidations count="1">
    <dataValidation type="list" allowBlank="1" showInputMessage="1" showErrorMessage="1" sqref="B8:D23" xr:uid="{00000000-0002-0000-0300-000000000000}">
      <formula1>"Sala, Projetor, Tela, Coffee, Almoço, Técnico, Serviço de sala, Café, Água"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61"/>
  <sheetViews>
    <sheetView showGridLines="0" topLeftCell="A18" workbookViewId="0">
      <selection activeCell="K1" sqref="K1:K2"/>
    </sheetView>
  </sheetViews>
  <sheetFormatPr defaultRowHeight="15" x14ac:dyDescent="0.25"/>
  <cols>
    <col min="1" max="1" width="3" style="2" customWidth="1"/>
    <col min="2" max="2" width="13.7109375" customWidth="1"/>
    <col min="3" max="3" width="18.42578125" customWidth="1"/>
    <col min="4" max="4" width="15" customWidth="1"/>
    <col min="5" max="5" width="9.28515625" bestFit="1" customWidth="1"/>
    <col min="6" max="6" width="32.140625" customWidth="1"/>
    <col min="7" max="7" width="10.42578125" bestFit="1" customWidth="1"/>
    <col min="8" max="8" width="32.5703125" customWidth="1"/>
    <col min="9" max="10" width="9.42578125" customWidth="1"/>
    <col min="11" max="11" width="12.42578125" bestFit="1" customWidth="1"/>
  </cols>
  <sheetData>
    <row r="1" spans="1:12" x14ac:dyDescent="0.25">
      <c r="B1" s="72" t="s">
        <v>29</v>
      </c>
      <c r="C1" s="120">
        <f>'Dados Gerais'!C2:J2</f>
        <v>0</v>
      </c>
      <c r="D1" s="121"/>
      <c r="E1" s="121"/>
      <c r="F1" s="121"/>
      <c r="G1" s="121"/>
      <c r="H1" s="121"/>
      <c r="I1" s="122"/>
      <c r="K1" s="91" t="s">
        <v>79</v>
      </c>
    </row>
    <row r="2" spans="1:12" x14ac:dyDescent="0.25">
      <c r="B2" s="72" t="s">
        <v>30</v>
      </c>
      <c r="C2" s="120">
        <f>'Dados Gerais'!C3:J3</f>
        <v>0</v>
      </c>
      <c r="D2" s="121"/>
      <c r="E2" s="121"/>
      <c r="F2" s="121"/>
      <c r="G2" s="121"/>
      <c r="H2" s="121"/>
      <c r="I2" s="122"/>
      <c r="K2" s="91" t="s">
        <v>80</v>
      </c>
    </row>
    <row r="3" spans="1:12" x14ac:dyDescent="0.25">
      <c r="B3" s="72" t="s">
        <v>31</v>
      </c>
      <c r="C3" s="120">
        <f>'Dados Gerais'!C4:J4</f>
        <v>0</v>
      </c>
      <c r="D3" s="121"/>
      <c r="E3" s="121"/>
      <c r="F3" s="121"/>
      <c r="G3" s="121"/>
      <c r="H3" s="121"/>
      <c r="I3" s="122"/>
    </row>
    <row r="4" spans="1:12" x14ac:dyDescent="0.25">
      <c r="B4" s="129" t="s">
        <v>20</v>
      </c>
      <c r="C4" s="135" t="s">
        <v>66</v>
      </c>
      <c r="D4" s="136"/>
      <c r="E4" s="73">
        <v>70</v>
      </c>
      <c r="F4" s="137" t="s">
        <v>68</v>
      </c>
      <c r="G4" s="138"/>
      <c r="H4" s="139"/>
      <c r="I4" s="131">
        <v>210</v>
      </c>
      <c r="J4" s="2"/>
      <c r="K4" s="2"/>
    </row>
    <row r="5" spans="1:12" x14ac:dyDescent="0.25">
      <c r="B5" s="130"/>
      <c r="C5" s="135" t="s">
        <v>67</v>
      </c>
      <c r="D5" s="136"/>
      <c r="E5" s="71">
        <v>95</v>
      </c>
      <c r="F5" s="140"/>
      <c r="G5" s="141"/>
      <c r="H5" s="142"/>
      <c r="I5" s="132"/>
      <c r="J5" s="2"/>
      <c r="K5" s="2"/>
    </row>
    <row r="6" spans="1:12" x14ac:dyDescent="0.25">
      <c r="B6" s="2"/>
      <c r="C6" s="2"/>
      <c r="D6" s="2"/>
      <c r="E6" s="2"/>
      <c r="F6" s="2"/>
      <c r="G6" s="3"/>
      <c r="H6" s="4"/>
      <c r="I6" s="2"/>
      <c r="J6" s="2"/>
      <c r="K6" s="2"/>
    </row>
    <row r="7" spans="1:12" x14ac:dyDescent="0.25">
      <c r="B7" s="125" t="s">
        <v>20</v>
      </c>
      <c r="C7" s="125"/>
      <c r="D7" s="125"/>
      <c r="E7" s="125"/>
      <c r="F7" s="125"/>
      <c r="G7" s="125"/>
      <c r="H7" s="125"/>
      <c r="I7" s="125"/>
      <c r="J7" s="125"/>
      <c r="K7" s="125"/>
    </row>
    <row r="8" spans="1:12" x14ac:dyDescent="0.25">
      <c r="B8" s="126"/>
      <c r="C8" s="126"/>
      <c r="D8" s="126"/>
      <c r="E8" s="126"/>
      <c r="F8" s="126"/>
      <c r="G8" s="126"/>
      <c r="H8" s="126"/>
      <c r="I8" s="126"/>
      <c r="J8" s="126"/>
      <c r="K8" s="126"/>
    </row>
    <row r="9" spans="1:12" s="27" customFormat="1" ht="25.5" x14ac:dyDescent="0.25">
      <c r="A9" s="74"/>
      <c r="B9" s="123" t="s">
        <v>0</v>
      </c>
      <c r="C9" s="123"/>
      <c r="D9" s="79" t="s">
        <v>14</v>
      </c>
      <c r="E9" s="124" t="s">
        <v>23</v>
      </c>
      <c r="F9" s="124"/>
      <c r="G9" s="124" t="s">
        <v>24</v>
      </c>
      <c r="H9" s="124"/>
      <c r="I9" s="80" t="s">
        <v>2</v>
      </c>
      <c r="J9" s="80" t="s">
        <v>3</v>
      </c>
      <c r="K9" s="80" t="s">
        <v>1</v>
      </c>
    </row>
    <row r="10" spans="1:12" x14ac:dyDescent="0.25">
      <c r="A10" s="2">
        <v>1</v>
      </c>
      <c r="B10" s="133">
        <f>'Dados Gerais'!B8</f>
        <v>0</v>
      </c>
      <c r="C10" s="134"/>
      <c r="D10" s="75">
        <f>'Dados Gerais'!G8</f>
        <v>0</v>
      </c>
      <c r="E10" s="76">
        <f>Passagens!E7</f>
        <v>0</v>
      </c>
      <c r="F10" s="89">
        <f>Passagens!I7</f>
        <v>0</v>
      </c>
      <c r="G10" s="76">
        <f>Hospedagem!G7</f>
        <v>0</v>
      </c>
      <c r="H10" s="44">
        <f>Passagens!M7</f>
        <v>0</v>
      </c>
      <c r="I10" s="77"/>
      <c r="J10" s="77"/>
      <c r="K10" s="78">
        <f>(I10*$E$4)+(J10*$E$5)</f>
        <v>0</v>
      </c>
      <c r="L10" s="1"/>
    </row>
    <row r="11" spans="1:12" x14ac:dyDescent="0.25">
      <c r="A11" s="2">
        <v>2</v>
      </c>
      <c r="B11" s="127">
        <f>'Dados Gerais'!B9</f>
        <v>0</v>
      </c>
      <c r="C11" s="128"/>
      <c r="D11" s="75">
        <f>'Dados Gerais'!G9</f>
        <v>0</v>
      </c>
      <c r="E11" s="28">
        <f>Passagens!E8</f>
        <v>0</v>
      </c>
      <c r="F11" s="89">
        <f>Passagens!I8</f>
        <v>0</v>
      </c>
      <c r="G11" s="76">
        <f>Hospedagem!G8</f>
        <v>0</v>
      </c>
      <c r="H11" s="44">
        <f>Passagens!M8</f>
        <v>0</v>
      </c>
      <c r="I11" s="29"/>
      <c r="J11" s="29"/>
      <c r="K11" s="78">
        <f t="shared" ref="K11:K59" si="0">(I11*$E$4)+(J11*$E$5)</f>
        <v>0</v>
      </c>
      <c r="L11" s="1"/>
    </row>
    <row r="12" spans="1:12" x14ac:dyDescent="0.25">
      <c r="A12" s="2">
        <v>3</v>
      </c>
      <c r="B12" s="127">
        <f>'Dados Gerais'!B10</f>
        <v>0</v>
      </c>
      <c r="C12" s="128"/>
      <c r="D12" s="75">
        <f>'Dados Gerais'!G10</f>
        <v>0</v>
      </c>
      <c r="E12" s="28">
        <f>Passagens!E9</f>
        <v>0</v>
      </c>
      <c r="F12" s="89">
        <f>Passagens!I9</f>
        <v>0</v>
      </c>
      <c r="G12" s="76">
        <f>Hospedagem!G9</f>
        <v>0</v>
      </c>
      <c r="H12" s="44">
        <f>Passagens!M9</f>
        <v>0</v>
      </c>
      <c r="I12" s="29"/>
      <c r="J12" s="29"/>
      <c r="K12" s="78">
        <f>I12*I4</f>
        <v>0</v>
      </c>
      <c r="L12" s="1"/>
    </row>
    <row r="13" spans="1:12" x14ac:dyDescent="0.25">
      <c r="A13" s="2">
        <v>4</v>
      </c>
      <c r="B13" s="127">
        <f>'Dados Gerais'!B11</f>
        <v>0</v>
      </c>
      <c r="C13" s="128"/>
      <c r="D13" s="75">
        <f>'Dados Gerais'!G11</f>
        <v>0</v>
      </c>
      <c r="E13" s="28">
        <f>Passagens!E10</f>
        <v>0</v>
      </c>
      <c r="F13" s="89">
        <f>Passagens!I10</f>
        <v>0</v>
      </c>
      <c r="G13" s="76">
        <f>Hospedagem!G10</f>
        <v>0</v>
      </c>
      <c r="H13" s="44">
        <f>Passagens!M10</f>
        <v>0</v>
      </c>
      <c r="I13" s="29"/>
      <c r="J13" s="29"/>
      <c r="K13" s="78">
        <f t="shared" si="0"/>
        <v>0</v>
      </c>
      <c r="L13" s="1"/>
    </row>
    <row r="14" spans="1:12" x14ac:dyDescent="0.25">
      <c r="A14" s="2">
        <v>5</v>
      </c>
      <c r="B14" s="127">
        <f>'Dados Gerais'!B12</f>
        <v>0</v>
      </c>
      <c r="C14" s="128"/>
      <c r="D14" s="75">
        <f>'Dados Gerais'!G12</f>
        <v>0</v>
      </c>
      <c r="E14" s="28">
        <f>Passagens!E11</f>
        <v>0</v>
      </c>
      <c r="F14" s="89">
        <f>Passagens!I11</f>
        <v>0</v>
      </c>
      <c r="G14" s="76">
        <f>Hospedagem!G11</f>
        <v>0</v>
      </c>
      <c r="H14" s="44">
        <f>Passagens!M11</f>
        <v>0</v>
      </c>
      <c r="I14" s="29"/>
      <c r="J14" s="29"/>
      <c r="K14" s="78">
        <f t="shared" si="0"/>
        <v>0</v>
      </c>
      <c r="L14" s="1"/>
    </row>
    <row r="15" spans="1:12" x14ac:dyDescent="0.25">
      <c r="A15" s="2">
        <v>6</v>
      </c>
      <c r="B15" s="127">
        <f>'Dados Gerais'!B13</f>
        <v>0</v>
      </c>
      <c r="C15" s="128"/>
      <c r="D15" s="75">
        <f>'Dados Gerais'!G13</f>
        <v>0</v>
      </c>
      <c r="E15" s="28">
        <f>Passagens!E12</f>
        <v>0</v>
      </c>
      <c r="F15" s="89">
        <f>Passagens!I12</f>
        <v>0</v>
      </c>
      <c r="G15" s="76">
        <f>Hospedagem!G12</f>
        <v>0</v>
      </c>
      <c r="H15" s="44">
        <f>Passagens!M12</f>
        <v>0</v>
      </c>
      <c r="I15" s="29"/>
      <c r="J15" s="29"/>
      <c r="K15" s="78">
        <f t="shared" si="0"/>
        <v>0</v>
      </c>
      <c r="L15" s="1"/>
    </row>
    <row r="16" spans="1:12" x14ac:dyDescent="0.25">
      <c r="A16" s="2">
        <v>7</v>
      </c>
      <c r="B16" s="127">
        <f>'Dados Gerais'!B14</f>
        <v>0</v>
      </c>
      <c r="C16" s="128"/>
      <c r="D16" s="75">
        <f>'Dados Gerais'!G14</f>
        <v>0</v>
      </c>
      <c r="E16" s="28">
        <f>Passagens!E13</f>
        <v>0</v>
      </c>
      <c r="F16" s="89">
        <f>Passagens!I13</f>
        <v>0</v>
      </c>
      <c r="G16" s="76">
        <f>Hospedagem!G13</f>
        <v>0</v>
      </c>
      <c r="H16" s="44">
        <f>Passagens!M13</f>
        <v>0</v>
      </c>
      <c r="I16" s="29"/>
      <c r="J16" s="29"/>
      <c r="K16" s="78">
        <f t="shared" si="0"/>
        <v>0</v>
      </c>
      <c r="L16" s="1"/>
    </row>
    <row r="17" spans="1:12" x14ac:dyDescent="0.25">
      <c r="A17" s="2">
        <v>8</v>
      </c>
      <c r="B17" s="127">
        <f>'Dados Gerais'!B15</f>
        <v>0</v>
      </c>
      <c r="C17" s="128"/>
      <c r="D17" s="75">
        <f>'Dados Gerais'!G15</f>
        <v>0</v>
      </c>
      <c r="E17" s="28">
        <f>Passagens!E14</f>
        <v>0</v>
      </c>
      <c r="F17" s="89">
        <f>Passagens!I14</f>
        <v>0</v>
      </c>
      <c r="G17" s="76">
        <f>Hospedagem!G14</f>
        <v>0</v>
      </c>
      <c r="H17" s="44">
        <f>Passagens!M14</f>
        <v>0</v>
      </c>
      <c r="I17" s="29"/>
      <c r="J17" s="29"/>
      <c r="K17" s="78">
        <f t="shared" si="0"/>
        <v>0</v>
      </c>
      <c r="L17" s="1"/>
    </row>
    <row r="18" spans="1:12" x14ac:dyDescent="0.25">
      <c r="A18" s="2">
        <v>9</v>
      </c>
      <c r="B18" s="127">
        <f>'Dados Gerais'!B16</f>
        <v>0</v>
      </c>
      <c r="C18" s="128"/>
      <c r="D18" s="75">
        <f>'Dados Gerais'!G16</f>
        <v>0</v>
      </c>
      <c r="E18" s="28">
        <f>Passagens!E15</f>
        <v>0</v>
      </c>
      <c r="F18" s="89">
        <f>Passagens!I15</f>
        <v>0</v>
      </c>
      <c r="G18" s="76">
        <f>Hospedagem!G15</f>
        <v>0</v>
      </c>
      <c r="H18" s="44">
        <f>Passagens!M15</f>
        <v>0</v>
      </c>
      <c r="I18" s="29"/>
      <c r="J18" s="29"/>
      <c r="K18" s="78">
        <f>I18*I4</f>
        <v>0</v>
      </c>
      <c r="L18" s="1"/>
    </row>
    <row r="19" spans="1:12" x14ac:dyDescent="0.25">
      <c r="A19" s="2">
        <v>10</v>
      </c>
      <c r="B19" s="127">
        <f>'Dados Gerais'!B17</f>
        <v>0</v>
      </c>
      <c r="C19" s="128"/>
      <c r="D19" s="75">
        <f>'Dados Gerais'!G17</f>
        <v>0</v>
      </c>
      <c r="E19" s="28">
        <f>Passagens!E16</f>
        <v>0</v>
      </c>
      <c r="F19" s="89">
        <f>Passagens!I16</f>
        <v>0</v>
      </c>
      <c r="G19" s="76">
        <f>Hospedagem!G16</f>
        <v>0</v>
      </c>
      <c r="H19" s="44">
        <f>Passagens!M16</f>
        <v>0</v>
      </c>
      <c r="I19" s="29"/>
      <c r="J19" s="29"/>
      <c r="K19" s="78">
        <f t="shared" si="0"/>
        <v>0</v>
      </c>
      <c r="L19" s="1"/>
    </row>
    <row r="20" spans="1:12" x14ac:dyDescent="0.25">
      <c r="A20" s="2">
        <v>11</v>
      </c>
      <c r="B20" s="127">
        <f>'Dados Gerais'!B18</f>
        <v>0</v>
      </c>
      <c r="C20" s="128"/>
      <c r="D20" s="75">
        <f>'Dados Gerais'!G18</f>
        <v>0</v>
      </c>
      <c r="E20" s="28">
        <f>Passagens!E17</f>
        <v>0</v>
      </c>
      <c r="F20" s="89">
        <f>Passagens!I17</f>
        <v>0</v>
      </c>
      <c r="G20" s="76">
        <f>Hospedagem!G17</f>
        <v>0</v>
      </c>
      <c r="H20" s="44">
        <f>Passagens!M17</f>
        <v>0</v>
      </c>
      <c r="I20" s="29"/>
      <c r="J20" s="29"/>
      <c r="K20" s="78">
        <f t="shared" si="0"/>
        <v>0</v>
      </c>
      <c r="L20" s="1"/>
    </row>
    <row r="21" spans="1:12" x14ac:dyDescent="0.25">
      <c r="A21" s="2">
        <v>12</v>
      </c>
      <c r="B21" s="127">
        <f>'Dados Gerais'!B19</f>
        <v>0</v>
      </c>
      <c r="C21" s="128"/>
      <c r="D21" s="75">
        <f>'Dados Gerais'!G19</f>
        <v>0</v>
      </c>
      <c r="E21" s="28">
        <f>Passagens!E18</f>
        <v>0</v>
      </c>
      <c r="F21" s="89">
        <f>Passagens!I18</f>
        <v>0</v>
      </c>
      <c r="G21" s="76">
        <f>Hospedagem!G18</f>
        <v>0</v>
      </c>
      <c r="H21" s="44">
        <f>Passagens!M18</f>
        <v>0</v>
      </c>
      <c r="I21" s="29"/>
      <c r="J21" s="29"/>
      <c r="K21" s="78">
        <f t="shared" si="0"/>
        <v>0</v>
      </c>
      <c r="L21" s="1"/>
    </row>
    <row r="22" spans="1:12" x14ac:dyDescent="0.25">
      <c r="A22" s="2">
        <v>13</v>
      </c>
      <c r="B22" s="127">
        <f>'Dados Gerais'!B20</f>
        <v>0</v>
      </c>
      <c r="C22" s="128"/>
      <c r="D22" s="75">
        <f>'Dados Gerais'!G20</f>
        <v>0</v>
      </c>
      <c r="E22" s="28">
        <f>Passagens!E19</f>
        <v>0</v>
      </c>
      <c r="F22" s="89">
        <f>Passagens!I19</f>
        <v>0</v>
      </c>
      <c r="G22" s="76">
        <f>Hospedagem!G19</f>
        <v>0</v>
      </c>
      <c r="H22" s="44">
        <f>Passagens!M19</f>
        <v>0</v>
      </c>
      <c r="I22" s="29"/>
      <c r="J22" s="29"/>
      <c r="K22" s="78">
        <f t="shared" si="0"/>
        <v>0</v>
      </c>
      <c r="L22" s="1"/>
    </row>
    <row r="23" spans="1:12" x14ac:dyDescent="0.25">
      <c r="A23" s="2">
        <v>14</v>
      </c>
      <c r="B23" s="127">
        <f>'Dados Gerais'!B21</f>
        <v>0</v>
      </c>
      <c r="C23" s="128"/>
      <c r="D23" s="75">
        <f>'Dados Gerais'!G21</f>
        <v>0</v>
      </c>
      <c r="E23" s="28">
        <f>Passagens!E20</f>
        <v>0</v>
      </c>
      <c r="F23" s="89">
        <f>Passagens!I20</f>
        <v>0</v>
      </c>
      <c r="G23" s="76">
        <f>Hospedagem!G20</f>
        <v>0</v>
      </c>
      <c r="H23" s="44">
        <f>Passagens!M20</f>
        <v>0</v>
      </c>
      <c r="I23" s="29"/>
      <c r="J23" s="29"/>
      <c r="K23" s="78">
        <f t="shared" si="0"/>
        <v>0</v>
      </c>
      <c r="L23" s="1"/>
    </row>
    <row r="24" spans="1:12" x14ac:dyDescent="0.25">
      <c r="A24" s="2">
        <v>15</v>
      </c>
      <c r="B24" s="127">
        <f>'Dados Gerais'!B22</f>
        <v>0</v>
      </c>
      <c r="C24" s="128"/>
      <c r="D24" s="75">
        <f>'Dados Gerais'!G22</f>
        <v>0</v>
      </c>
      <c r="E24" s="28">
        <f>Passagens!E21</f>
        <v>0</v>
      </c>
      <c r="F24" s="89">
        <f>Passagens!I21</f>
        <v>0</v>
      </c>
      <c r="G24" s="76">
        <f>Hospedagem!G21</f>
        <v>0</v>
      </c>
      <c r="H24" s="44">
        <f>Passagens!M21</f>
        <v>0</v>
      </c>
      <c r="I24" s="29"/>
      <c r="J24" s="29"/>
      <c r="K24" s="78">
        <f t="shared" si="0"/>
        <v>0</v>
      </c>
      <c r="L24" s="1"/>
    </row>
    <row r="25" spans="1:12" x14ac:dyDescent="0.25">
      <c r="A25" s="2">
        <v>16</v>
      </c>
      <c r="B25" s="127">
        <f>'Dados Gerais'!B23</f>
        <v>0</v>
      </c>
      <c r="C25" s="128"/>
      <c r="D25" s="75">
        <f>'Dados Gerais'!G23</f>
        <v>0</v>
      </c>
      <c r="E25" s="28">
        <f>Passagens!E22</f>
        <v>0</v>
      </c>
      <c r="F25" s="89">
        <f>Passagens!I22</f>
        <v>0</v>
      </c>
      <c r="G25" s="76">
        <f>Hospedagem!G22</f>
        <v>0</v>
      </c>
      <c r="H25" s="44">
        <f>Passagens!M22</f>
        <v>0</v>
      </c>
      <c r="I25" s="29"/>
      <c r="J25" s="29"/>
      <c r="K25" s="78">
        <f t="shared" si="0"/>
        <v>0</v>
      </c>
      <c r="L25" s="1"/>
    </row>
    <row r="26" spans="1:12" x14ac:dyDescent="0.25">
      <c r="A26" s="2">
        <v>17</v>
      </c>
      <c r="B26" s="127">
        <f>'Dados Gerais'!B24</f>
        <v>0</v>
      </c>
      <c r="C26" s="128"/>
      <c r="D26" s="75">
        <f>'Dados Gerais'!G24</f>
        <v>0</v>
      </c>
      <c r="E26" s="28">
        <f>Passagens!E23</f>
        <v>0</v>
      </c>
      <c r="F26" s="89">
        <f>Passagens!I23</f>
        <v>0</v>
      </c>
      <c r="G26" s="76">
        <f>Hospedagem!G23</f>
        <v>0</v>
      </c>
      <c r="H26" s="44">
        <f>Passagens!M23</f>
        <v>0</v>
      </c>
      <c r="I26" s="29"/>
      <c r="J26" s="29"/>
      <c r="K26" s="78">
        <f t="shared" si="0"/>
        <v>0</v>
      </c>
      <c r="L26" s="1"/>
    </row>
    <row r="27" spans="1:12" x14ac:dyDescent="0.25">
      <c r="A27" s="2">
        <v>18</v>
      </c>
      <c r="B27" s="127">
        <f>'Dados Gerais'!B25</f>
        <v>0</v>
      </c>
      <c r="C27" s="128"/>
      <c r="D27" s="75">
        <f>'Dados Gerais'!G25</f>
        <v>0</v>
      </c>
      <c r="E27" s="28">
        <f>Passagens!E24</f>
        <v>0</v>
      </c>
      <c r="F27" s="89">
        <f>Passagens!I24</f>
        <v>0</v>
      </c>
      <c r="G27" s="76">
        <f>Hospedagem!G24</f>
        <v>0</v>
      </c>
      <c r="H27" s="44">
        <f>Passagens!M24</f>
        <v>0</v>
      </c>
      <c r="I27" s="29"/>
      <c r="J27" s="29"/>
      <c r="K27" s="78">
        <f t="shared" si="0"/>
        <v>0</v>
      </c>
      <c r="L27" s="1"/>
    </row>
    <row r="28" spans="1:12" x14ac:dyDescent="0.25">
      <c r="A28" s="2">
        <v>19</v>
      </c>
      <c r="B28" s="127">
        <f>'Dados Gerais'!B26</f>
        <v>0</v>
      </c>
      <c r="C28" s="128"/>
      <c r="D28" s="75">
        <f>'Dados Gerais'!G26</f>
        <v>0</v>
      </c>
      <c r="E28" s="28">
        <f>Passagens!E25</f>
        <v>0</v>
      </c>
      <c r="F28" s="89">
        <f>Passagens!I25</f>
        <v>0</v>
      </c>
      <c r="G28" s="76">
        <f>Hospedagem!G25</f>
        <v>0</v>
      </c>
      <c r="H28" s="44">
        <f>Passagens!M25</f>
        <v>0</v>
      </c>
      <c r="I28" s="29"/>
      <c r="J28" s="29"/>
      <c r="K28" s="78">
        <f t="shared" si="0"/>
        <v>0</v>
      </c>
      <c r="L28" s="1"/>
    </row>
    <row r="29" spans="1:12" x14ac:dyDescent="0.25">
      <c r="A29" s="2">
        <v>20</v>
      </c>
      <c r="B29" s="127">
        <f>'Dados Gerais'!B27</f>
        <v>0</v>
      </c>
      <c r="C29" s="128"/>
      <c r="D29" s="75">
        <f>'Dados Gerais'!G27</f>
        <v>0</v>
      </c>
      <c r="E29" s="28">
        <f>Passagens!E26</f>
        <v>0</v>
      </c>
      <c r="F29" s="89">
        <f>Passagens!I26</f>
        <v>0</v>
      </c>
      <c r="G29" s="76">
        <f>Hospedagem!G26</f>
        <v>0</v>
      </c>
      <c r="H29" s="44">
        <f>Passagens!M26</f>
        <v>0</v>
      </c>
      <c r="I29" s="29"/>
      <c r="J29" s="29"/>
      <c r="K29" s="78">
        <f t="shared" si="0"/>
        <v>0</v>
      </c>
      <c r="L29" s="1"/>
    </row>
    <row r="30" spans="1:12" x14ac:dyDescent="0.25">
      <c r="A30" s="2">
        <v>21</v>
      </c>
      <c r="B30" s="127">
        <f>'Dados Gerais'!B28</f>
        <v>0</v>
      </c>
      <c r="C30" s="128"/>
      <c r="D30" s="75">
        <f>'Dados Gerais'!G28</f>
        <v>0</v>
      </c>
      <c r="E30" s="28">
        <f>Passagens!E27</f>
        <v>0</v>
      </c>
      <c r="F30" s="89">
        <f>Passagens!I27</f>
        <v>0</v>
      </c>
      <c r="G30" s="76">
        <f>Hospedagem!G27</f>
        <v>0</v>
      </c>
      <c r="H30" s="44">
        <f>Passagens!M27</f>
        <v>0</v>
      </c>
      <c r="I30" s="29"/>
      <c r="J30" s="29"/>
      <c r="K30" s="78">
        <f t="shared" si="0"/>
        <v>0</v>
      </c>
      <c r="L30" s="1"/>
    </row>
    <row r="31" spans="1:12" x14ac:dyDescent="0.25">
      <c r="A31" s="2">
        <v>22</v>
      </c>
      <c r="B31" s="127">
        <f>'Dados Gerais'!B29</f>
        <v>0</v>
      </c>
      <c r="C31" s="128"/>
      <c r="D31" s="75">
        <f>'Dados Gerais'!G29</f>
        <v>0</v>
      </c>
      <c r="E31" s="28">
        <f>Passagens!E28</f>
        <v>0</v>
      </c>
      <c r="F31" s="89">
        <f>Passagens!I28</f>
        <v>0</v>
      </c>
      <c r="G31" s="76">
        <f>Hospedagem!G28</f>
        <v>0</v>
      </c>
      <c r="H31" s="44">
        <f>Passagens!M28</f>
        <v>0</v>
      </c>
      <c r="I31" s="29"/>
      <c r="J31" s="29"/>
      <c r="K31" s="78">
        <f t="shared" si="0"/>
        <v>0</v>
      </c>
      <c r="L31" s="1"/>
    </row>
    <row r="32" spans="1:12" x14ac:dyDescent="0.25">
      <c r="A32" s="2">
        <v>23</v>
      </c>
      <c r="B32" s="127">
        <f>'Dados Gerais'!B30</f>
        <v>0</v>
      </c>
      <c r="C32" s="128"/>
      <c r="D32" s="75">
        <f>'Dados Gerais'!G30</f>
        <v>0</v>
      </c>
      <c r="E32" s="28">
        <f>Passagens!E29</f>
        <v>0</v>
      </c>
      <c r="F32" s="89">
        <f>Passagens!I29</f>
        <v>0</v>
      </c>
      <c r="G32" s="76">
        <f>Hospedagem!G29</f>
        <v>0</v>
      </c>
      <c r="H32" s="44">
        <f>Passagens!M29</f>
        <v>0</v>
      </c>
      <c r="I32" s="29"/>
      <c r="J32" s="29"/>
      <c r="K32" s="78">
        <f t="shared" si="0"/>
        <v>0</v>
      </c>
      <c r="L32" s="1"/>
    </row>
    <row r="33" spans="1:12" x14ac:dyDescent="0.25">
      <c r="A33" s="2">
        <v>24</v>
      </c>
      <c r="B33" s="127">
        <f>'Dados Gerais'!B31</f>
        <v>0</v>
      </c>
      <c r="C33" s="128"/>
      <c r="D33" s="75">
        <f>'Dados Gerais'!G31</f>
        <v>0</v>
      </c>
      <c r="E33" s="28">
        <f>Passagens!E30</f>
        <v>0</v>
      </c>
      <c r="F33" s="89">
        <f>Passagens!I30</f>
        <v>0</v>
      </c>
      <c r="G33" s="76">
        <f>Hospedagem!G30</f>
        <v>0</v>
      </c>
      <c r="H33" s="44">
        <f>Passagens!M30</f>
        <v>0</v>
      </c>
      <c r="I33" s="29"/>
      <c r="J33" s="29"/>
      <c r="K33" s="78">
        <f t="shared" si="0"/>
        <v>0</v>
      </c>
      <c r="L33" s="1"/>
    </row>
    <row r="34" spans="1:12" x14ac:dyDescent="0.25">
      <c r="A34" s="2">
        <v>25</v>
      </c>
      <c r="B34" s="127">
        <f>'Dados Gerais'!B32</f>
        <v>0</v>
      </c>
      <c r="C34" s="128"/>
      <c r="D34" s="75">
        <f>'Dados Gerais'!G32</f>
        <v>0</v>
      </c>
      <c r="E34" s="28">
        <f>Passagens!E31</f>
        <v>0</v>
      </c>
      <c r="F34" s="89">
        <f>Passagens!I31</f>
        <v>0</v>
      </c>
      <c r="G34" s="76">
        <f>Hospedagem!G31</f>
        <v>0</v>
      </c>
      <c r="H34" s="44">
        <f>Passagens!M31</f>
        <v>0</v>
      </c>
      <c r="I34" s="29"/>
      <c r="J34" s="29"/>
      <c r="K34" s="78">
        <f t="shared" si="0"/>
        <v>0</v>
      </c>
      <c r="L34" s="1"/>
    </row>
    <row r="35" spans="1:12" x14ac:dyDescent="0.25">
      <c r="A35" s="2">
        <v>26</v>
      </c>
      <c r="B35" s="127">
        <f>'Dados Gerais'!B33</f>
        <v>0</v>
      </c>
      <c r="C35" s="128"/>
      <c r="D35" s="75">
        <f>'Dados Gerais'!G33</f>
        <v>0</v>
      </c>
      <c r="E35" s="28">
        <f>Passagens!E32</f>
        <v>0</v>
      </c>
      <c r="F35" s="89">
        <f>Passagens!I32</f>
        <v>0</v>
      </c>
      <c r="G35" s="76">
        <f>Hospedagem!G32</f>
        <v>0</v>
      </c>
      <c r="H35" s="44">
        <f>Passagens!M32</f>
        <v>0</v>
      </c>
      <c r="I35" s="29"/>
      <c r="J35" s="29"/>
      <c r="K35" s="78">
        <f t="shared" si="0"/>
        <v>0</v>
      </c>
      <c r="L35" s="1"/>
    </row>
    <row r="36" spans="1:12" x14ac:dyDescent="0.25">
      <c r="A36" s="2">
        <v>27</v>
      </c>
      <c r="B36" s="127">
        <f>'Dados Gerais'!B34</f>
        <v>0</v>
      </c>
      <c r="C36" s="128"/>
      <c r="D36" s="75">
        <f>'Dados Gerais'!G34</f>
        <v>0</v>
      </c>
      <c r="E36" s="28">
        <f>Passagens!E33</f>
        <v>0</v>
      </c>
      <c r="F36" s="89">
        <f>Passagens!I33</f>
        <v>0</v>
      </c>
      <c r="G36" s="76">
        <f>Hospedagem!G33</f>
        <v>0</v>
      </c>
      <c r="H36" s="44">
        <f>Passagens!M33</f>
        <v>0</v>
      </c>
      <c r="I36" s="29"/>
      <c r="J36" s="29"/>
      <c r="K36" s="78">
        <f t="shared" si="0"/>
        <v>0</v>
      </c>
      <c r="L36" s="1"/>
    </row>
    <row r="37" spans="1:12" x14ac:dyDescent="0.25">
      <c r="A37" s="2">
        <v>28</v>
      </c>
      <c r="B37" s="127">
        <f>'Dados Gerais'!B35</f>
        <v>0</v>
      </c>
      <c r="C37" s="128"/>
      <c r="D37" s="75">
        <f>'Dados Gerais'!G35</f>
        <v>0</v>
      </c>
      <c r="E37" s="28">
        <f>Passagens!E34</f>
        <v>0</v>
      </c>
      <c r="F37" s="89">
        <f>Passagens!I34</f>
        <v>0</v>
      </c>
      <c r="G37" s="76">
        <f>Hospedagem!G34</f>
        <v>0</v>
      </c>
      <c r="H37" s="44">
        <f>Passagens!M34</f>
        <v>0</v>
      </c>
      <c r="I37" s="29"/>
      <c r="J37" s="29"/>
      <c r="K37" s="78">
        <f t="shared" si="0"/>
        <v>0</v>
      </c>
      <c r="L37" s="1"/>
    </row>
    <row r="38" spans="1:12" x14ac:dyDescent="0.25">
      <c r="A38" s="2">
        <v>29</v>
      </c>
      <c r="B38" s="127">
        <f>'Dados Gerais'!B36</f>
        <v>0</v>
      </c>
      <c r="C38" s="128"/>
      <c r="D38" s="75">
        <f>'Dados Gerais'!G36</f>
        <v>0</v>
      </c>
      <c r="E38" s="28">
        <f>Passagens!E35</f>
        <v>0</v>
      </c>
      <c r="F38" s="89">
        <f>Passagens!I35</f>
        <v>0</v>
      </c>
      <c r="G38" s="76">
        <f>Hospedagem!G35</f>
        <v>0</v>
      </c>
      <c r="H38" s="44">
        <f>Passagens!M35</f>
        <v>0</v>
      </c>
      <c r="I38" s="29"/>
      <c r="J38" s="29"/>
      <c r="K38" s="78">
        <f t="shared" si="0"/>
        <v>0</v>
      </c>
      <c r="L38" s="1"/>
    </row>
    <row r="39" spans="1:12" x14ac:dyDescent="0.25">
      <c r="A39" s="2">
        <v>30</v>
      </c>
      <c r="B39" s="127">
        <f>'Dados Gerais'!B37</f>
        <v>0</v>
      </c>
      <c r="C39" s="128"/>
      <c r="D39" s="75">
        <f>'Dados Gerais'!G37</f>
        <v>0</v>
      </c>
      <c r="E39" s="28">
        <f>Passagens!E36</f>
        <v>0</v>
      </c>
      <c r="F39" s="89">
        <f>Passagens!I36</f>
        <v>0</v>
      </c>
      <c r="G39" s="76">
        <f>Hospedagem!G36</f>
        <v>0</v>
      </c>
      <c r="H39" s="44">
        <f>Passagens!M36</f>
        <v>0</v>
      </c>
      <c r="I39" s="29"/>
      <c r="J39" s="29"/>
      <c r="K39" s="78">
        <f t="shared" si="0"/>
        <v>0</v>
      </c>
      <c r="L39" s="1"/>
    </row>
    <row r="40" spans="1:12" x14ac:dyDescent="0.25">
      <c r="A40" s="2">
        <v>31</v>
      </c>
      <c r="B40" s="127">
        <f>'Dados Gerais'!B38</f>
        <v>0</v>
      </c>
      <c r="C40" s="128"/>
      <c r="D40" s="75">
        <f>'Dados Gerais'!G38</f>
        <v>0</v>
      </c>
      <c r="E40" s="28">
        <f>Passagens!E37</f>
        <v>0</v>
      </c>
      <c r="F40" s="89">
        <f>Passagens!I37</f>
        <v>0</v>
      </c>
      <c r="G40" s="76">
        <f>Hospedagem!G37</f>
        <v>0</v>
      </c>
      <c r="H40" s="44">
        <f>Passagens!M37</f>
        <v>0</v>
      </c>
      <c r="I40" s="29"/>
      <c r="J40" s="29"/>
      <c r="K40" s="78">
        <f t="shared" si="0"/>
        <v>0</v>
      </c>
      <c r="L40" s="1"/>
    </row>
    <row r="41" spans="1:12" x14ac:dyDescent="0.25">
      <c r="A41" s="2">
        <v>32</v>
      </c>
      <c r="B41" s="127">
        <f>'Dados Gerais'!B39</f>
        <v>0</v>
      </c>
      <c r="C41" s="128"/>
      <c r="D41" s="75">
        <f>'Dados Gerais'!G39</f>
        <v>0</v>
      </c>
      <c r="E41" s="28">
        <f>Passagens!E38</f>
        <v>0</v>
      </c>
      <c r="F41" s="89">
        <f>Passagens!I38</f>
        <v>0</v>
      </c>
      <c r="G41" s="76">
        <f>Hospedagem!G38</f>
        <v>0</v>
      </c>
      <c r="H41" s="44">
        <f>Passagens!M38</f>
        <v>0</v>
      </c>
      <c r="I41" s="29"/>
      <c r="J41" s="29"/>
      <c r="K41" s="78">
        <f t="shared" si="0"/>
        <v>0</v>
      </c>
      <c r="L41" s="1"/>
    </row>
    <row r="42" spans="1:12" x14ac:dyDescent="0.25">
      <c r="A42" s="2">
        <v>33</v>
      </c>
      <c r="B42" s="127">
        <f>'Dados Gerais'!B40</f>
        <v>0</v>
      </c>
      <c r="C42" s="128"/>
      <c r="D42" s="75">
        <f>'Dados Gerais'!G40</f>
        <v>0</v>
      </c>
      <c r="E42" s="28">
        <f>Passagens!E39</f>
        <v>0</v>
      </c>
      <c r="F42" s="89">
        <f>Passagens!I39</f>
        <v>0</v>
      </c>
      <c r="G42" s="76">
        <f>Hospedagem!G39</f>
        <v>0</v>
      </c>
      <c r="H42" s="44">
        <f>Passagens!M39</f>
        <v>0</v>
      </c>
      <c r="I42" s="29"/>
      <c r="J42" s="29"/>
      <c r="K42" s="78">
        <f t="shared" si="0"/>
        <v>0</v>
      </c>
      <c r="L42" s="1"/>
    </row>
    <row r="43" spans="1:12" x14ac:dyDescent="0.25">
      <c r="A43" s="2">
        <v>34</v>
      </c>
      <c r="B43" s="127">
        <f>'Dados Gerais'!B41</f>
        <v>0</v>
      </c>
      <c r="C43" s="128"/>
      <c r="D43" s="75">
        <f>'Dados Gerais'!G41</f>
        <v>0</v>
      </c>
      <c r="E43" s="28">
        <f>Passagens!E40</f>
        <v>0</v>
      </c>
      <c r="F43" s="89">
        <f>Passagens!I40</f>
        <v>0</v>
      </c>
      <c r="G43" s="76">
        <f>Hospedagem!G40</f>
        <v>0</v>
      </c>
      <c r="H43" s="44">
        <f>Passagens!M40</f>
        <v>0</v>
      </c>
      <c r="I43" s="29"/>
      <c r="J43" s="29"/>
      <c r="K43" s="78">
        <f t="shared" si="0"/>
        <v>0</v>
      </c>
      <c r="L43" s="1"/>
    </row>
    <row r="44" spans="1:12" x14ac:dyDescent="0.25">
      <c r="A44" s="2">
        <v>35</v>
      </c>
      <c r="B44" s="127">
        <f>'Dados Gerais'!B42</f>
        <v>0</v>
      </c>
      <c r="C44" s="128"/>
      <c r="D44" s="75">
        <f>'Dados Gerais'!G42</f>
        <v>0</v>
      </c>
      <c r="E44" s="28">
        <f>Passagens!E41</f>
        <v>0</v>
      </c>
      <c r="F44" s="89">
        <f>Passagens!I41</f>
        <v>0</v>
      </c>
      <c r="G44" s="76">
        <f>Hospedagem!G41</f>
        <v>0</v>
      </c>
      <c r="H44" s="44">
        <f>Passagens!M41</f>
        <v>0</v>
      </c>
      <c r="I44" s="29"/>
      <c r="J44" s="29"/>
      <c r="K44" s="78">
        <f t="shared" si="0"/>
        <v>0</v>
      </c>
      <c r="L44" s="1"/>
    </row>
    <row r="45" spans="1:12" x14ac:dyDescent="0.25">
      <c r="A45" s="2">
        <v>36</v>
      </c>
      <c r="B45" s="127">
        <f>'Dados Gerais'!B43</f>
        <v>0</v>
      </c>
      <c r="C45" s="128"/>
      <c r="D45" s="75">
        <f>'Dados Gerais'!G43</f>
        <v>0</v>
      </c>
      <c r="E45" s="28">
        <f>Passagens!E42</f>
        <v>0</v>
      </c>
      <c r="F45" s="89">
        <f>Passagens!I42</f>
        <v>0</v>
      </c>
      <c r="G45" s="76">
        <f>Hospedagem!G42</f>
        <v>0</v>
      </c>
      <c r="H45" s="44">
        <f>Passagens!M42</f>
        <v>0</v>
      </c>
      <c r="I45" s="29"/>
      <c r="J45" s="29"/>
      <c r="K45" s="78">
        <f t="shared" si="0"/>
        <v>0</v>
      </c>
      <c r="L45" s="1"/>
    </row>
    <row r="46" spans="1:12" x14ac:dyDescent="0.25">
      <c r="A46" s="2">
        <v>37</v>
      </c>
      <c r="B46" s="127">
        <f>'Dados Gerais'!B44</f>
        <v>0</v>
      </c>
      <c r="C46" s="128"/>
      <c r="D46" s="75">
        <f>'Dados Gerais'!G44</f>
        <v>0</v>
      </c>
      <c r="E46" s="28">
        <f>Passagens!E43</f>
        <v>0</v>
      </c>
      <c r="F46" s="89">
        <f>Passagens!I43</f>
        <v>0</v>
      </c>
      <c r="G46" s="76">
        <f>Hospedagem!G43</f>
        <v>0</v>
      </c>
      <c r="H46" s="44">
        <f>Passagens!M43</f>
        <v>0</v>
      </c>
      <c r="I46" s="29"/>
      <c r="J46" s="29"/>
      <c r="K46" s="78">
        <f t="shared" si="0"/>
        <v>0</v>
      </c>
      <c r="L46" s="1"/>
    </row>
    <row r="47" spans="1:12" x14ac:dyDescent="0.25">
      <c r="A47" s="2">
        <v>38</v>
      </c>
      <c r="B47" s="127">
        <f>'Dados Gerais'!B45</f>
        <v>0</v>
      </c>
      <c r="C47" s="128"/>
      <c r="D47" s="75">
        <f>'Dados Gerais'!G45</f>
        <v>0</v>
      </c>
      <c r="E47" s="28">
        <f>Passagens!E44</f>
        <v>0</v>
      </c>
      <c r="F47" s="89">
        <f>Passagens!I44</f>
        <v>0</v>
      </c>
      <c r="G47" s="76">
        <f>Hospedagem!G44</f>
        <v>0</v>
      </c>
      <c r="H47" s="44">
        <f>Passagens!M44</f>
        <v>0</v>
      </c>
      <c r="I47" s="29"/>
      <c r="J47" s="29"/>
      <c r="K47" s="78">
        <f t="shared" si="0"/>
        <v>0</v>
      </c>
      <c r="L47" s="1"/>
    </row>
    <row r="48" spans="1:12" x14ac:dyDescent="0.25">
      <c r="A48" s="2">
        <v>39</v>
      </c>
      <c r="B48" s="127">
        <f>'Dados Gerais'!B46</f>
        <v>0</v>
      </c>
      <c r="C48" s="128"/>
      <c r="D48" s="75">
        <f>'Dados Gerais'!G46</f>
        <v>0</v>
      </c>
      <c r="E48" s="28">
        <f>Passagens!E45</f>
        <v>0</v>
      </c>
      <c r="F48" s="89">
        <f>Passagens!I45</f>
        <v>0</v>
      </c>
      <c r="G48" s="76">
        <f>Hospedagem!G45</f>
        <v>0</v>
      </c>
      <c r="H48" s="44">
        <f>Passagens!M45</f>
        <v>0</v>
      </c>
      <c r="I48" s="29"/>
      <c r="J48" s="29"/>
      <c r="K48" s="78">
        <f t="shared" si="0"/>
        <v>0</v>
      </c>
      <c r="L48" s="1"/>
    </row>
    <row r="49" spans="1:12" x14ac:dyDescent="0.25">
      <c r="A49" s="2">
        <v>40</v>
      </c>
      <c r="B49" s="127">
        <f>'Dados Gerais'!B47</f>
        <v>0</v>
      </c>
      <c r="C49" s="128"/>
      <c r="D49" s="75">
        <f>'Dados Gerais'!G47</f>
        <v>0</v>
      </c>
      <c r="E49" s="28">
        <f>Passagens!E46</f>
        <v>0</v>
      </c>
      <c r="F49" s="89">
        <f>Passagens!I46</f>
        <v>0</v>
      </c>
      <c r="G49" s="76">
        <f>Hospedagem!G46</f>
        <v>0</v>
      </c>
      <c r="H49" s="44">
        <f>Passagens!M46</f>
        <v>0</v>
      </c>
      <c r="I49" s="29"/>
      <c r="J49" s="29"/>
      <c r="K49" s="78">
        <f t="shared" si="0"/>
        <v>0</v>
      </c>
      <c r="L49" s="1"/>
    </row>
    <row r="50" spans="1:12" x14ac:dyDescent="0.25">
      <c r="A50" s="2">
        <v>41</v>
      </c>
      <c r="B50" s="127">
        <f>'Dados Gerais'!B48</f>
        <v>0</v>
      </c>
      <c r="C50" s="128"/>
      <c r="D50" s="75">
        <f>'Dados Gerais'!G48</f>
        <v>0</v>
      </c>
      <c r="E50" s="28">
        <f>Passagens!E47</f>
        <v>0</v>
      </c>
      <c r="F50" s="89">
        <f>Passagens!I47</f>
        <v>0</v>
      </c>
      <c r="G50" s="76">
        <f>Hospedagem!G47</f>
        <v>0</v>
      </c>
      <c r="H50" s="44">
        <f>Passagens!M47</f>
        <v>0</v>
      </c>
      <c r="I50" s="29"/>
      <c r="J50" s="29"/>
      <c r="K50" s="78">
        <f t="shared" si="0"/>
        <v>0</v>
      </c>
      <c r="L50" s="1"/>
    </row>
    <row r="51" spans="1:12" x14ac:dyDescent="0.25">
      <c r="A51" s="2">
        <v>42</v>
      </c>
      <c r="B51" s="127">
        <f>'Dados Gerais'!B49</f>
        <v>0</v>
      </c>
      <c r="C51" s="128"/>
      <c r="D51" s="75">
        <f>'Dados Gerais'!G49</f>
        <v>0</v>
      </c>
      <c r="E51" s="28">
        <f>Passagens!E48</f>
        <v>0</v>
      </c>
      <c r="F51" s="89">
        <f>Passagens!I48</f>
        <v>0</v>
      </c>
      <c r="G51" s="76">
        <f>Hospedagem!G48</f>
        <v>0</v>
      </c>
      <c r="H51" s="44">
        <f>Passagens!M48</f>
        <v>0</v>
      </c>
      <c r="I51" s="29"/>
      <c r="J51" s="29"/>
      <c r="K51" s="78">
        <f t="shared" si="0"/>
        <v>0</v>
      </c>
      <c r="L51" s="1"/>
    </row>
    <row r="52" spans="1:12" x14ac:dyDescent="0.25">
      <c r="A52" s="2">
        <v>43</v>
      </c>
      <c r="B52" s="127">
        <f>'Dados Gerais'!B50</f>
        <v>0</v>
      </c>
      <c r="C52" s="128"/>
      <c r="D52" s="75">
        <f>'Dados Gerais'!G50</f>
        <v>0</v>
      </c>
      <c r="E52" s="28">
        <f>Passagens!E49</f>
        <v>0</v>
      </c>
      <c r="F52" s="89">
        <f>Passagens!I49</f>
        <v>0</v>
      </c>
      <c r="G52" s="76">
        <f>Hospedagem!G49</f>
        <v>0</v>
      </c>
      <c r="H52" s="44">
        <f>Passagens!M49</f>
        <v>0</v>
      </c>
      <c r="I52" s="29"/>
      <c r="J52" s="29"/>
      <c r="K52" s="78">
        <f t="shared" si="0"/>
        <v>0</v>
      </c>
      <c r="L52" s="1"/>
    </row>
    <row r="53" spans="1:12" x14ac:dyDescent="0.25">
      <c r="A53" s="2">
        <v>44</v>
      </c>
      <c r="B53" s="127">
        <f>'Dados Gerais'!B51</f>
        <v>0</v>
      </c>
      <c r="C53" s="128"/>
      <c r="D53" s="75">
        <f>'Dados Gerais'!G51</f>
        <v>0</v>
      </c>
      <c r="E53" s="28">
        <f>Passagens!E50</f>
        <v>0</v>
      </c>
      <c r="F53" s="89">
        <f>Passagens!I50</f>
        <v>0</v>
      </c>
      <c r="G53" s="76">
        <f>Hospedagem!G50</f>
        <v>0</v>
      </c>
      <c r="H53" s="44">
        <f>Passagens!M50</f>
        <v>0</v>
      </c>
      <c r="I53" s="29"/>
      <c r="J53" s="29"/>
      <c r="K53" s="78">
        <f t="shared" si="0"/>
        <v>0</v>
      </c>
      <c r="L53" s="1"/>
    </row>
    <row r="54" spans="1:12" x14ac:dyDescent="0.25">
      <c r="A54" s="2">
        <v>45</v>
      </c>
      <c r="B54" s="127">
        <f>'Dados Gerais'!B52</f>
        <v>0</v>
      </c>
      <c r="C54" s="128"/>
      <c r="D54" s="75">
        <f>'Dados Gerais'!G52</f>
        <v>0</v>
      </c>
      <c r="E54" s="28">
        <f>Passagens!E51</f>
        <v>0</v>
      </c>
      <c r="F54" s="89">
        <f>Passagens!I51</f>
        <v>0</v>
      </c>
      <c r="G54" s="76">
        <f>Hospedagem!G51</f>
        <v>0</v>
      </c>
      <c r="H54" s="44">
        <f>Passagens!M51</f>
        <v>0</v>
      </c>
      <c r="I54" s="29"/>
      <c r="J54" s="29"/>
      <c r="K54" s="78">
        <f t="shared" si="0"/>
        <v>0</v>
      </c>
      <c r="L54" s="1"/>
    </row>
    <row r="55" spans="1:12" x14ac:dyDescent="0.25">
      <c r="A55" s="2">
        <v>46</v>
      </c>
      <c r="B55" s="127">
        <f>'Dados Gerais'!B53</f>
        <v>0</v>
      </c>
      <c r="C55" s="128"/>
      <c r="D55" s="75">
        <f>'Dados Gerais'!G53</f>
        <v>0</v>
      </c>
      <c r="E55" s="28">
        <f>Passagens!E52</f>
        <v>0</v>
      </c>
      <c r="F55" s="89">
        <f>Passagens!I52</f>
        <v>0</v>
      </c>
      <c r="G55" s="76">
        <f>Hospedagem!G52</f>
        <v>0</v>
      </c>
      <c r="H55" s="44">
        <f>Passagens!M52</f>
        <v>0</v>
      </c>
      <c r="I55" s="29"/>
      <c r="J55" s="29"/>
      <c r="K55" s="78">
        <f t="shared" si="0"/>
        <v>0</v>
      </c>
      <c r="L55" s="1"/>
    </row>
    <row r="56" spans="1:12" x14ac:dyDescent="0.25">
      <c r="A56" s="2">
        <v>47</v>
      </c>
      <c r="B56" s="127">
        <f>'Dados Gerais'!B54</f>
        <v>0</v>
      </c>
      <c r="C56" s="128"/>
      <c r="D56" s="75">
        <f>'Dados Gerais'!G54</f>
        <v>0</v>
      </c>
      <c r="E56" s="28">
        <f>Passagens!E53</f>
        <v>0</v>
      </c>
      <c r="F56" s="89">
        <f>Passagens!I53</f>
        <v>0</v>
      </c>
      <c r="G56" s="76">
        <f>Hospedagem!G53</f>
        <v>0</v>
      </c>
      <c r="H56" s="44">
        <f>Passagens!M53</f>
        <v>0</v>
      </c>
      <c r="I56" s="29"/>
      <c r="J56" s="29"/>
      <c r="K56" s="78">
        <f t="shared" si="0"/>
        <v>0</v>
      </c>
      <c r="L56" s="1"/>
    </row>
    <row r="57" spans="1:12" x14ac:dyDescent="0.25">
      <c r="A57" s="2">
        <v>48</v>
      </c>
      <c r="B57" s="127">
        <f>'Dados Gerais'!B55</f>
        <v>0</v>
      </c>
      <c r="C57" s="128"/>
      <c r="D57" s="75">
        <f>'Dados Gerais'!G55</f>
        <v>0</v>
      </c>
      <c r="E57" s="28">
        <f>Passagens!E54</f>
        <v>0</v>
      </c>
      <c r="F57" s="89">
        <f>Passagens!I54</f>
        <v>0</v>
      </c>
      <c r="G57" s="76">
        <f>Hospedagem!G54</f>
        <v>0</v>
      </c>
      <c r="H57" s="44">
        <f>Passagens!M54</f>
        <v>0</v>
      </c>
      <c r="I57" s="29"/>
      <c r="J57" s="29"/>
      <c r="K57" s="78">
        <f t="shared" si="0"/>
        <v>0</v>
      </c>
      <c r="L57" s="1"/>
    </row>
    <row r="58" spans="1:12" x14ac:dyDescent="0.25">
      <c r="A58" s="2">
        <v>49</v>
      </c>
      <c r="B58" s="127">
        <f>'Dados Gerais'!B56</f>
        <v>0</v>
      </c>
      <c r="C58" s="128"/>
      <c r="D58" s="75">
        <f>'Dados Gerais'!G56</f>
        <v>0</v>
      </c>
      <c r="E58" s="28">
        <f>Passagens!E55</f>
        <v>0</v>
      </c>
      <c r="F58" s="89">
        <f>Passagens!I55</f>
        <v>0</v>
      </c>
      <c r="G58" s="76">
        <f>Hospedagem!G55</f>
        <v>0</v>
      </c>
      <c r="H58" s="44">
        <f>Passagens!M55</f>
        <v>0</v>
      </c>
      <c r="I58" s="29"/>
      <c r="J58" s="29"/>
      <c r="K58" s="78">
        <f t="shared" si="0"/>
        <v>0</v>
      </c>
      <c r="L58" s="1"/>
    </row>
    <row r="59" spans="1:12" x14ac:dyDescent="0.25">
      <c r="A59" s="2">
        <v>50</v>
      </c>
      <c r="B59" s="127">
        <f>'Dados Gerais'!B57</f>
        <v>0</v>
      </c>
      <c r="C59" s="128"/>
      <c r="D59" s="75">
        <f>'Dados Gerais'!G57</f>
        <v>0</v>
      </c>
      <c r="E59" s="28">
        <f>Passagens!E56</f>
        <v>0</v>
      </c>
      <c r="F59" s="89">
        <f>Passagens!I56</f>
        <v>0</v>
      </c>
      <c r="G59" s="76">
        <f>Hospedagem!G56</f>
        <v>0</v>
      </c>
      <c r="H59" s="44">
        <f>Passagens!M56</f>
        <v>0</v>
      </c>
      <c r="I59" s="29"/>
      <c r="J59" s="29"/>
      <c r="K59" s="78">
        <f t="shared" si="0"/>
        <v>0</v>
      </c>
      <c r="L59" s="1"/>
    </row>
    <row r="60" spans="1:12" x14ac:dyDescent="0.25">
      <c r="B60" s="2"/>
      <c r="C60" s="2"/>
      <c r="D60" s="2"/>
      <c r="E60" s="2"/>
      <c r="F60" s="2"/>
      <c r="G60" s="2"/>
      <c r="H60" s="2"/>
      <c r="I60" s="3"/>
      <c r="J60" s="3"/>
      <c r="K60" s="23">
        <f>SUM(K10:K22)</f>
        <v>0</v>
      </c>
    </row>
    <row r="61" spans="1:12" x14ac:dyDescent="0.25">
      <c r="B61" s="2"/>
      <c r="C61" s="2"/>
      <c r="D61" s="2"/>
      <c r="E61" s="2"/>
      <c r="F61" s="2"/>
      <c r="G61" s="2"/>
      <c r="H61" s="2"/>
      <c r="I61" s="2"/>
      <c r="J61" s="2"/>
      <c r="K61" s="5"/>
    </row>
  </sheetData>
  <mergeCells count="62">
    <mergeCell ref="B58:C58"/>
    <mergeCell ref="B59:C59"/>
    <mergeCell ref="C4:D4"/>
    <mergeCell ref="C5:D5"/>
    <mergeCell ref="F4:H5"/>
    <mergeCell ref="B53:C53"/>
    <mergeCell ref="B54:C54"/>
    <mergeCell ref="B55:C55"/>
    <mergeCell ref="B56:C56"/>
    <mergeCell ref="B57:C57"/>
    <mergeCell ref="B48:C48"/>
    <mergeCell ref="B49:C49"/>
    <mergeCell ref="B50:C50"/>
    <mergeCell ref="B51:C51"/>
    <mergeCell ref="B52:C52"/>
    <mergeCell ref="B43:C43"/>
    <mergeCell ref="B44:C44"/>
    <mergeCell ref="B45:C45"/>
    <mergeCell ref="B46:C46"/>
    <mergeCell ref="B47:C47"/>
    <mergeCell ref="B38:C38"/>
    <mergeCell ref="B39:C39"/>
    <mergeCell ref="B40:C40"/>
    <mergeCell ref="B41:C41"/>
    <mergeCell ref="B42:C42"/>
    <mergeCell ref="B33:C33"/>
    <mergeCell ref="B34:C34"/>
    <mergeCell ref="B35:C35"/>
    <mergeCell ref="B36:C36"/>
    <mergeCell ref="B37:C37"/>
    <mergeCell ref="B28:C28"/>
    <mergeCell ref="B29:C29"/>
    <mergeCell ref="B30:C30"/>
    <mergeCell ref="B31:C31"/>
    <mergeCell ref="B32:C32"/>
    <mergeCell ref="B23:C23"/>
    <mergeCell ref="B24:C24"/>
    <mergeCell ref="B25:C25"/>
    <mergeCell ref="B26:C26"/>
    <mergeCell ref="B27:C27"/>
    <mergeCell ref="B21:C21"/>
    <mergeCell ref="B22:C22"/>
    <mergeCell ref="B4:B5"/>
    <mergeCell ref="I4:I5"/>
    <mergeCell ref="B16:C16"/>
    <mergeCell ref="B17:C17"/>
    <mergeCell ref="B18:C18"/>
    <mergeCell ref="B19:C19"/>
    <mergeCell ref="B20:C20"/>
    <mergeCell ref="B10:C10"/>
    <mergeCell ref="B11:C11"/>
    <mergeCell ref="B12:C12"/>
    <mergeCell ref="B13:C13"/>
    <mergeCell ref="B14:C14"/>
    <mergeCell ref="B15:C15"/>
    <mergeCell ref="C1:I1"/>
    <mergeCell ref="C2:I2"/>
    <mergeCell ref="C3:I3"/>
    <mergeCell ref="B9:C9"/>
    <mergeCell ref="E9:F9"/>
    <mergeCell ref="G9:H9"/>
    <mergeCell ref="B7:K8"/>
  </mergeCells>
  <conditionalFormatting sqref="B9">
    <cfRule type="expression" dxfId="2" priority="2" stopIfTrue="1">
      <formula>MOD(ROW(),2) = 0</formula>
    </cfRule>
  </conditionalFormatting>
  <conditionalFormatting sqref="D9">
    <cfRule type="expression" dxfId="1" priority="3" stopIfTrue="1">
      <formula>MOD(ROW(),2) = 0</formula>
    </cfRule>
  </conditionalFormatting>
  <conditionalFormatting sqref="D10:D59">
    <cfRule type="cellIs" dxfId="0" priority="1" operator="equal">
      <formula>"Funcionário"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58"/>
  <sheetViews>
    <sheetView showGridLines="0" workbookViewId="0">
      <selection activeCell="D8" sqref="D8:D25"/>
    </sheetView>
  </sheetViews>
  <sheetFormatPr defaultRowHeight="15" x14ac:dyDescent="0.25"/>
  <cols>
    <col min="1" max="1" width="4.42578125" style="2" customWidth="1"/>
    <col min="2" max="2" width="32.42578125" customWidth="1"/>
    <col min="3" max="3" width="14.5703125" customWidth="1"/>
    <col min="4" max="4" width="13.28515625" style="6" customWidth="1"/>
    <col min="7" max="7" width="14.85546875" bestFit="1" customWidth="1"/>
    <col min="8" max="8" width="14.28515625" bestFit="1" customWidth="1"/>
    <col min="10" max="10" width="15.28515625" bestFit="1" customWidth="1"/>
  </cols>
  <sheetData>
    <row r="1" spans="1:4" x14ac:dyDescent="0.25">
      <c r="B1" s="41" t="s">
        <v>29</v>
      </c>
      <c r="C1" s="93">
        <f>'Dados Gerais'!C2:J2</f>
        <v>0</v>
      </c>
      <c r="D1" s="95"/>
    </row>
    <row r="2" spans="1:4" x14ac:dyDescent="0.25">
      <c r="B2" s="41" t="s">
        <v>30</v>
      </c>
      <c r="C2" s="93">
        <f>'Dados Gerais'!C3:J3</f>
        <v>0</v>
      </c>
      <c r="D2" s="95"/>
    </row>
    <row r="3" spans="1:4" x14ac:dyDescent="0.25">
      <c r="B3" s="41" t="s">
        <v>31</v>
      </c>
      <c r="C3" s="93">
        <f>'Dados Gerais'!C4:J4</f>
        <v>0</v>
      </c>
      <c r="D3" s="95"/>
    </row>
    <row r="5" spans="1:4" x14ac:dyDescent="0.25">
      <c r="B5" s="143" t="s">
        <v>69</v>
      </c>
      <c r="C5" s="143"/>
      <c r="D5" s="143"/>
    </row>
    <row r="7" spans="1:4" x14ac:dyDescent="0.25">
      <c r="B7" s="83" t="s">
        <v>34</v>
      </c>
      <c r="C7" s="83" t="s">
        <v>14</v>
      </c>
      <c r="D7" s="83" t="s">
        <v>1</v>
      </c>
    </row>
    <row r="8" spans="1:4" x14ac:dyDescent="0.25">
      <c r="A8" s="2">
        <v>1</v>
      </c>
      <c r="B8" s="16">
        <f>'Dados Gerais'!B8</f>
        <v>0</v>
      </c>
      <c r="C8" s="82">
        <f>'Dados Gerais'!G8</f>
        <v>0</v>
      </c>
      <c r="D8" s="8"/>
    </row>
    <row r="9" spans="1:4" x14ac:dyDescent="0.25">
      <c r="A9" s="2">
        <v>2</v>
      </c>
      <c r="B9" s="16">
        <f>'Dados Gerais'!B9</f>
        <v>0</v>
      </c>
      <c r="C9" s="82">
        <f>'Dados Gerais'!G9</f>
        <v>0</v>
      </c>
      <c r="D9" s="8"/>
    </row>
    <row r="10" spans="1:4" x14ac:dyDescent="0.25">
      <c r="A10" s="2">
        <v>3</v>
      </c>
      <c r="B10" s="16">
        <f>'Dados Gerais'!B10</f>
        <v>0</v>
      </c>
      <c r="C10" s="82">
        <f>'Dados Gerais'!G10</f>
        <v>0</v>
      </c>
      <c r="D10" s="8"/>
    </row>
    <row r="11" spans="1:4" x14ac:dyDescent="0.25">
      <c r="A11" s="2">
        <v>4</v>
      </c>
      <c r="B11" s="16">
        <f>'Dados Gerais'!B11</f>
        <v>0</v>
      </c>
      <c r="C11" s="82">
        <f>'Dados Gerais'!G11</f>
        <v>0</v>
      </c>
      <c r="D11" s="8"/>
    </row>
    <row r="12" spans="1:4" x14ac:dyDescent="0.25">
      <c r="A12" s="2">
        <v>5</v>
      </c>
      <c r="B12" s="16">
        <f>'Dados Gerais'!B12</f>
        <v>0</v>
      </c>
      <c r="C12" s="82">
        <f>'Dados Gerais'!G12</f>
        <v>0</v>
      </c>
      <c r="D12" s="8"/>
    </row>
    <row r="13" spans="1:4" x14ac:dyDescent="0.25">
      <c r="A13" s="2">
        <v>6</v>
      </c>
      <c r="B13" s="16">
        <f>'Dados Gerais'!B13</f>
        <v>0</v>
      </c>
      <c r="C13" s="82">
        <f>'Dados Gerais'!G13</f>
        <v>0</v>
      </c>
      <c r="D13" s="8"/>
    </row>
    <row r="14" spans="1:4" x14ac:dyDescent="0.25">
      <c r="A14" s="2">
        <v>7</v>
      </c>
      <c r="B14" s="16">
        <f>'Dados Gerais'!B14</f>
        <v>0</v>
      </c>
      <c r="C14" s="82">
        <f>'Dados Gerais'!G14</f>
        <v>0</v>
      </c>
      <c r="D14" s="8"/>
    </row>
    <row r="15" spans="1:4" x14ac:dyDescent="0.25">
      <c r="A15" s="2">
        <v>8</v>
      </c>
      <c r="B15" s="16">
        <f>'Dados Gerais'!B15</f>
        <v>0</v>
      </c>
      <c r="C15" s="82">
        <f>'Dados Gerais'!G15</f>
        <v>0</v>
      </c>
      <c r="D15" s="8"/>
    </row>
    <row r="16" spans="1:4" x14ac:dyDescent="0.25">
      <c r="A16" s="2">
        <v>9</v>
      </c>
      <c r="B16" s="16">
        <f>'Dados Gerais'!B16</f>
        <v>0</v>
      </c>
      <c r="C16" s="82">
        <f>'Dados Gerais'!G16</f>
        <v>0</v>
      </c>
      <c r="D16" s="8"/>
    </row>
    <row r="17" spans="1:4" x14ac:dyDescent="0.25">
      <c r="A17" s="2">
        <v>10</v>
      </c>
      <c r="B17" s="16">
        <f>'Dados Gerais'!B17</f>
        <v>0</v>
      </c>
      <c r="C17" s="82">
        <f>'Dados Gerais'!G17</f>
        <v>0</v>
      </c>
      <c r="D17" s="8"/>
    </row>
    <row r="18" spans="1:4" x14ac:dyDescent="0.25">
      <c r="A18" s="2">
        <v>11</v>
      </c>
      <c r="B18" s="16">
        <f>'Dados Gerais'!B18</f>
        <v>0</v>
      </c>
      <c r="C18" s="82">
        <f>'Dados Gerais'!G18</f>
        <v>0</v>
      </c>
      <c r="D18" s="8"/>
    </row>
    <row r="19" spans="1:4" x14ac:dyDescent="0.25">
      <c r="A19" s="2">
        <v>12</v>
      </c>
      <c r="B19" s="16">
        <f>'Dados Gerais'!B19</f>
        <v>0</v>
      </c>
      <c r="C19" s="82">
        <f>'Dados Gerais'!G19</f>
        <v>0</v>
      </c>
      <c r="D19" s="8"/>
    </row>
    <row r="20" spans="1:4" x14ac:dyDescent="0.25">
      <c r="A20" s="2">
        <v>13</v>
      </c>
      <c r="B20" s="16">
        <f>'Dados Gerais'!B20</f>
        <v>0</v>
      </c>
      <c r="C20" s="82">
        <f>'Dados Gerais'!G20</f>
        <v>0</v>
      </c>
      <c r="D20" s="8"/>
    </row>
    <row r="21" spans="1:4" x14ac:dyDescent="0.25">
      <c r="A21" s="2">
        <v>14</v>
      </c>
      <c r="B21" s="16">
        <f>'Dados Gerais'!B21</f>
        <v>0</v>
      </c>
      <c r="C21" s="82">
        <f>'Dados Gerais'!G21</f>
        <v>0</v>
      </c>
      <c r="D21" s="8"/>
    </row>
    <row r="22" spans="1:4" x14ac:dyDescent="0.25">
      <c r="A22" s="2">
        <v>15</v>
      </c>
      <c r="B22" s="16">
        <f>'Dados Gerais'!B22</f>
        <v>0</v>
      </c>
      <c r="C22" s="82">
        <f>'Dados Gerais'!G22</f>
        <v>0</v>
      </c>
      <c r="D22" s="8"/>
    </row>
    <row r="23" spans="1:4" x14ac:dyDescent="0.25">
      <c r="A23" s="2">
        <v>16</v>
      </c>
      <c r="B23" s="16">
        <f>'Dados Gerais'!B23</f>
        <v>0</v>
      </c>
      <c r="C23" s="82">
        <f>'Dados Gerais'!G23</f>
        <v>0</v>
      </c>
      <c r="D23" s="8"/>
    </row>
    <row r="24" spans="1:4" x14ac:dyDescent="0.25">
      <c r="A24" s="2">
        <v>17</v>
      </c>
      <c r="B24" s="16">
        <f>'Dados Gerais'!B24</f>
        <v>0</v>
      </c>
      <c r="C24" s="82">
        <f>'Dados Gerais'!G24</f>
        <v>0</v>
      </c>
      <c r="D24" s="8"/>
    </row>
    <row r="25" spans="1:4" x14ac:dyDescent="0.25">
      <c r="A25" s="2">
        <v>18</v>
      </c>
      <c r="B25" s="16">
        <f>'Dados Gerais'!B25</f>
        <v>0</v>
      </c>
      <c r="C25" s="82">
        <f>'Dados Gerais'!G25</f>
        <v>0</v>
      </c>
      <c r="D25" s="8"/>
    </row>
    <row r="26" spans="1:4" x14ac:dyDescent="0.25">
      <c r="A26" s="2">
        <v>19</v>
      </c>
      <c r="B26" s="16">
        <f>'Dados Gerais'!B26</f>
        <v>0</v>
      </c>
      <c r="C26" s="82">
        <f>'Dados Gerais'!G26</f>
        <v>0</v>
      </c>
      <c r="D26" s="8"/>
    </row>
    <row r="27" spans="1:4" x14ac:dyDescent="0.25">
      <c r="A27" s="2">
        <v>20</v>
      </c>
      <c r="B27" s="16">
        <f>'Dados Gerais'!B27</f>
        <v>0</v>
      </c>
      <c r="C27" s="82">
        <f>'Dados Gerais'!G27</f>
        <v>0</v>
      </c>
      <c r="D27" s="8"/>
    </row>
    <row r="28" spans="1:4" x14ac:dyDescent="0.25">
      <c r="A28" s="2">
        <v>21</v>
      </c>
      <c r="B28" s="16">
        <f>'Dados Gerais'!B28</f>
        <v>0</v>
      </c>
      <c r="C28" s="82">
        <f>'Dados Gerais'!G28</f>
        <v>0</v>
      </c>
      <c r="D28" s="8"/>
    </row>
    <row r="29" spans="1:4" x14ac:dyDescent="0.25">
      <c r="A29" s="2">
        <v>22</v>
      </c>
      <c r="B29" s="16">
        <f>'Dados Gerais'!B29</f>
        <v>0</v>
      </c>
      <c r="C29" s="82">
        <f>'Dados Gerais'!G29</f>
        <v>0</v>
      </c>
      <c r="D29" s="8"/>
    </row>
    <row r="30" spans="1:4" x14ac:dyDescent="0.25">
      <c r="A30" s="2">
        <v>23</v>
      </c>
      <c r="B30" s="16">
        <f>'Dados Gerais'!B30</f>
        <v>0</v>
      </c>
      <c r="C30" s="82">
        <f>'Dados Gerais'!G30</f>
        <v>0</v>
      </c>
      <c r="D30" s="8"/>
    </row>
    <row r="31" spans="1:4" x14ac:dyDescent="0.25">
      <c r="A31" s="2">
        <v>24</v>
      </c>
      <c r="B31" s="16">
        <f>'Dados Gerais'!B31</f>
        <v>0</v>
      </c>
      <c r="C31" s="82">
        <f>'Dados Gerais'!G31</f>
        <v>0</v>
      </c>
      <c r="D31" s="8"/>
    </row>
    <row r="32" spans="1:4" x14ac:dyDescent="0.25">
      <c r="A32" s="2">
        <v>25</v>
      </c>
      <c r="B32" s="16">
        <f>'Dados Gerais'!B32</f>
        <v>0</v>
      </c>
      <c r="C32" s="82">
        <f>'Dados Gerais'!G32</f>
        <v>0</v>
      </c>
      <c r="D32" s="8"/>
    </row>
    <row r="33" spans="1:4" x14ac:dyDescent="0.25">
      <c r="A33" s="2">
        <v>26</v>
      </c>
      <c r="B33" s="16">
        <f>'Dados Gerais'!B33</f>
        <v>0</v>
      </c>
      <c r="C33" s="82">
        <f>'Dados Gerais'!G33</f>
        <v>0</v>
      </c>
      <c r="D33" s="8"/>
    </row>
    <row r="34" spans="1:4" x14ac:dyDescent="0.25">
      <c r="A34" s="2">
        <v>27</v>
      </c>
      <c r="B34" s="16">
        <f>'Dados Gerais'!B34</f>
        <v>0</v>
      </c>
      <c r="C34" s="82">
        <f>'Dados Gerais'!G34</f>
        <v>0</v>
      </c>
      <c r="D34" s="8"/>
    </row>
    <row r="35" spans="1:4" x14ac:dyDescent="0.25">
      <c r="A35" s="2">
        <v>28</v>
      </c>
      <c r="B35" s="16">
        <f>'Dados Gerais'!B35</f>
        <v>0</v>
      </c>
      <c r="C35" s="82">
        <f>'Dados Gerais'!G35</f>
        <v>0</v>
      </c>
      <c r="D35" s="8"/>
    </row>
    <row r="36" spans="1:4" x14ac:dyDescent="0.25">
      <c r="A36" s="2">
        <v>29</v>
      </c>
      <c r="B36" s="16">
        <f>'Dados Gerais'!B36</f>
        <v>0</v>
      </c>
      <c r="C36" s="82">
        <f>'Dados Gerais'!G36</f>
        <v>0</v>
      </c>
      <c r="D36" s="8"/>
    </row>
    <row r="37" spans="1:4" x14ac:dyDescent="0.25">
      <c r="A37" s="2">
        <v>30</v>
      </c>
      <c r="B37" s="16">
        <f>'Dados Gerais'!B37</f>
        <v>0</v>
      </c>
      <c r="C37" s="82">
        <f>'Dados Gerais'!G37</f>
        <v>0</v>
      </c>
      <c r="D37" s="8"/>
    </row>
    <row r="38" spans="1:4" x14ac:dyDescent="0.25">
      <c r="A38" s="2">
        <v>31</v>
      </c>
      <c r="B38" s="16">
        <f>'Dados Gerais'!B38</f>
        <v>0</v>
      </c>
      <c r="C38" s="82">
        <f>'Dados Gerais'!G38</f>
        <v>0</v>
      </c>
      <c r="D38" s="8"/>
    </row>
    <row r="39" spans="1:4" x14ac:dyDescent="0.25">
      <c r="A39" s="2">
        <v>32</v>
      </c>
      <c r="B39" s="16">
        <f>'Dados Gerais'!B39</f>
        <v>0</v>
      </c>
      <c r="C39" s="82">
        <f>'Dados Gerais'!G39</f>
        <v>0</v>
      </c>
      <c r="D39" s="8"/>
    </row>
    <row r="40" spans="1:4" x14ac:dyDescent="0.25">
      <c r="A40" s="2">
        <v>33</v>
      </c>
      <c r="B40" s="16">
        <f>'Dados Gerais'!B40</f>
        <v>0</v>
      </c>
      <c r="C40" s="82">
        <f>'Dados Gerais'!G40</f>
        <v>0</v>
      </c>
      <c r="D40" s="8"/>
    </row>
    <row r="41" spans="1:4" x14ac:dyDescent="0.25">
      <c r="A41" s="2">
        <v>34</v>
      </c>
      <c r="B41" s="16">
        <f>'Dados Gerais'!B41</f>
        <v>0</v>
      </c>
      <c r="C41" s="82">
        <f>'Dados Gerais'!G41</f>
        <v>0</v>
      </c>
      <c r="D41" s="8"/>
    </row>
    <row r="42" spans="1:4" x14ac:dyDescent="0.25">
      <c r="A42" s="2">
        <v>35</v>
      </c>
      <c r="B42" s="16">
        <f>'Dados Gerais'!B42</f>
        <v>0</v>
      </c>
      <c r="C42" s="82">
        <f>'Dados Gerais'!G42</f>
        <v>0</v>
      </c>
      <c r="D42" s="8"/>
    </row>
    <row r="43" spans="1:4" x14ac:dyDescent="0.25">
      <c r="A43" s="2">
        <v>36</v>
      </c>
      <c r="B43" s="16">
        <f>'Dados Gerais'!B43</f>
        <v>0</v>
      </c>
      <c r="C43" s="82">
        <f>'Dados Gerais'!G43</f>
        <v>0</v>
      </c>
      <c r="D43" s="8"/>
    </row>
    <row r="44" spans="1:4" x14ac:dyDescent="0.25">
      <c r="A44" s="2">
        <v>37</v>
      </c>
      <c r="B44" s="16">
        <f>'Dados Gerais'!B44</f>
        <v>0</v>
      </c>
      <c r="C44" s="82">
        <f>'Dados Gerais'!G44</f>
        <v>0</v>
      </c>
      <c r="D44" s="8"/>
    </row>
    <row r="45" spans="1:4" x14ac:dyDescent="0.25">
      <c r="A45" s="2">
        <v>38</v>
      </c>
      <c r="B45" s="16">
        <f>'Dados Gerais'!B45</f>
        <v>0</v>
      </c>
      <c r="C45" s="82">
        <f>'Dados Gerais'!G45</f>
        <v>0</v>
      </c>
      <c r="D45" s="8"/>
    </row>
    <row r="46" spans="1:4" x14ac:dyDescent="0.25">
      <c r="A46" s="2">
        <v>39</v>
      </c>
      <c r="B46" s="16">
        <f>'Dados Gerais'!B46</f>
        <v>0</v>
      </c>
      <c r="C46" s="82">
        <f>'Dados Gerais'!G46</f>
        <v>0</v>
      </c>
      <c r="D46" s="8"/>
    </row>
    <row r="47" spans="1:4" x14ac:dyDescent="0.25">
      <c r="A47" s="2">
        <v>40</v>
      </c>
      <c r="B47" s="16">
        <f>'Dados Gerais'!B47</f>
        <v>0</v>
      </c>
      <c r="C47" s="82">
        <f>'Dados Gerais'!G47</f>
        <v>0</v>
      </c>
      <c r="D47" s="8"/>
    </row>
    <row r="48" spans="1:4" x14ac:dyDescent="0.25">
      <c r="A48" s="2">
        <v>41</v>
      </c>
      <c r="B48" s="16">
        <f>'Dados Gerais'!B48</f>
        <v>0</v>
      </c>
      <c r="C48" s="82">
        <f>'Dados Gerais'!G48</f>
        <v>0</v>
      </c>
      <c r="D48" s="8"/>
    </row>
    <row r="49" spans="1:4" x14ac:dyDescent="0.25">
      <c r="A49" s="2">
        <v>42</v>
      </c>
      <c r="B49" s="16">
        <f>'Dados Gerais'!B49</f>
        <v>0</v>
      </c>
      <c r="C49" s="82">
        <f>'Dados Gerais'!G49</f>
        <v>0</v>
      </c>
      <c r="D49" s="8"/>
    </row>
    <row r="50" spans="1:4" x14ac:dyDescent="0.25">
      <c r="A50" s="2">
        <v>43</v>
      </c>
      <c r="B50" s="16">
        <f>'Dados Gerais'!B50</f>
        <v>0</v>
      </c>
      <c r="C50" s="82">
        <f>'Dados Gerais'!G50</f>
        <v>0</v>
      </c>
      <c r="D50" s="8"/>
    </row>
    <row r="51" spans="1:4" x14ac:dyDescent="0.25">
      <c r="A51" s="2">
        <v>44</v>
      </c>
      <c r="B51" s="16">
        <f>'Dados Gerais'!B51</f>
        <v>0</v>
      </c>
      <c r="C51" s="82">
        <f>'Dados Gerais'!G51</f>
        <v>0</v>
      </c>
      <c r="D51" s="8"/>
    </row>
    <row r="52" spans="1:4" x14ac:dyDescent="0.25">
      <c r="A52" s="2">
        <v>45</v>
      </c>
      <c r="B52" s="16">
        <f>'Dados Gerais'!B52</f>
        <v>0</v>
      </c>
      <c r="C52" s="82">
        <f>'Dados Gerais'!G52</f>
        <v>0</v>
      </c>
      <c r="D52" s="8"/>
    </row>
    <row r="53" spans="1:4" x14ac:dyDescent="0.25">
      <c r="A53" s="2">
        <v>46</v>
      </c>
      <c r="B53" s="16">
        <f>'Dados Gerais'!B53</f>
        <v>0</v>
      </c>
      <c r="C53" s="82">
        <f>'Dados Gerais'!G53</f>
        <v>0</v>
      </c>
      <c r="D53" s="8"/>
    </row>
    <row r="54" spans="1:4" x14ac:dyDescent="0.25">
      <c r="A54" s="2">
        <v>47</v>
      </c>
      <c r="B54" s="16">
        <f>'Dados Gerais'!B54</f>
        <v>0</v>
      </c>
      <c r="C54" s="82">
        <f>'Dados Gerais'!G54</f>
        <v>0</v>
      </c>
      <c r="D54" s="8"/>
    </row>
    <row r="55" spans="1:4" x14ac:dyDescent="0.25">
      <c r="A55" s="2">
        <v>48</v>
      </c>
      <c r="B55" s="16">
        <f>'Dados Gerais'!B55</f>
        <v>0</v>
      </c>
      <c r="C55" s="82">
        <f>'Dados Gerais'!G55</f>
        <v>0</v>
      </c>
      <c r="D55" s="8"/>
    </row>
    <row r="56" spans="1:4" x14ac:dyDescent="0.25">
      <c r="A56" s="2">
        <v>49</v>
      </c>
      <c r="B56" s="16">
        <f>'Dados Gerais'!B56</f>
        <v>0</v>
      </c>
      <c r="C56" s="82">
        <f>'Dados Gerais'!G56</f>
        <v>0</v>
      </c>
      <c r="D56" s="8"/>
    </row>
    <row r="57" spans="1:4" x14ac:dyDescent="0.25">
      <c r="A57" s="2">
        <v>50</v>
      </c>
      <c r="B57" s="81">
        <f>'Dados Gerais'!B57</f>
        <v>0</v>
      </c>
      <c r="C57" s="84">
        <f>'Dados Gerais'!G57</f>
        <v>0</v>
      </c>
      <c r="D57" s="85"/>
    </row>
    <row r="58" spans="1:4" x14ac:dyDescent="0.25">
      <c r="C58" s="86" t="s">
        <v>63</v>
      </c>
      <c r="D58" s="87">
        <f>SUM(D8:D57)</f>
        <v>0</v>
      </c>
    </row>
  </sheetData>
  <mergeCells count="4">
    <mergeCell ref="B5:D5"/>
    <mergeCell ref="C1:D1"/>
    <mergeCell ref="C2:D2"/>
    <mergeCell ref="C3:D3"/>
  </mergeCells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H27"/>
  <sheetViews>
    <sheetView showGridLines="0" workbookViewId="0">
      <selection activeCell="B8" sqref="B8:D8"/>
    </sheetView>
  </sheetViews>
  <sheetFormatPr defaultRowHeight="15" x14ac:dyDescent="0.25"/>
  <cols>
    <col min="1" max="1" width="2" customWidth="1"/>
    <col min="2" max="2" width="14" customWidth="1"/>
    <col min="4" max="4" width="9.140625" customWidth="1"/>
    <col min="5" max="5" width="2.85546875" bestFit="1" customWidth="1"/>
    <col min="6" max="6" width="6.7109375" customWidth="1"/>
    <col min="7" max="7" width="6.42578125" customWidth="1"/>
    <col min="8" max="8" width="11.42578125" customWidth="1"/>
  </cols>
  <sheetData>
    <row r="1" spans="2:8" x14ac:dyDescent="0.25">
      <c r="B1" s="88" t="s">
        <v>29</v>
      </c>
      <c r="C1" s="93">
        <f>'Dados Gerais'!C2:J2</f>
        <v>0</v>
      </c>
      <c r="D1" s="94"/>
      <c r="E1" s="94"/>
      <c r="F1" s="94"/>
      <c r="G1" s="95"/>
      <c r="H1" s="1"/>
    </row>
    <row r="2" spans="2:8" x14ac:dyDescent="0.25">
      <c r="B2" s="88" t="s">
        <v>30</v>
      </c>
      <c r="C2" s="93">
        <f>'Dados Gerais'!C3:J3</f>
        <v>0</v>
      </c>
      <c r="D2" s="94"/>
      <c r="E2" s="94"/>
      <c r="F2" s="94"/>
      <c r="G2" s="95"/>
      <c r="H2" s="32"/>
    </row>
    <row r="3" spans="2:8" x14ac:dyDescent="0.25">
      <c r="B3" s="88" t="s">
        <v>31</v>
      </c>
      <c r="C3" s="93">
        <f>'Dados Gerais'!C4:J4</f>
        <v>0</v>
      </c>
      <c r="D3" s="94"/>
      <c r="E3" s="94"/>
      <c r="F3" s="94"/>
      <c r="G3" s="95"/>
      <c r="H3" s="32"/>
    </row>
    <row r="6" spans="2:8" x14ac:dyDescent="0.25">
      <c r="B6" s="144" t="s">
        <v>70</v>
      </c>
      <c r="C6" s="144"/>
      <c r="D6" s="144"/>
      <c r="E6" s="144"/>
      <c r="F6" s="144"/>
      <c r="G6" s="144"/>
      <c r="H6" s="144"/>
    </row>
    <row r="7" spans="2:8" x14ac:dyDescent="0.25">
      <c r="B7" s="145" t="s">
        <v>71</v>
      </c>
      <c r="C7" s="145"/>
      <c r="D7" s="145"/>
      <c r="E7" s="146" t="s">
        <v>72</v>
      </c>
      <c r="F7" s="146"/>
      <c r="G7" s="146"/>
      <c r="H7" s="146"/>
    </row>
    <row r="8" spans="2:8" x14ac:dyDescent="0.25">
      <c r="B8" s="147" t="s">
        <v>74</v>
      </c>
      <c r="C8" s="147"/>
      <c r="D8" s="147"/>
      <c r="E8" s="148">
        <f>Passagens!M2</f>
        <v>0</v>
      </c>
      <c r="F8" s="148"/>
      <c r="G8" s="148"/>
      <c r="H8" s="148"/>
    </row>
    <row r="9" spans="2:8" x14ac:dyDescent="0.25">
      <c r="B9" s="147" t="s">
        <v>73</v>
      </c>
      <c r="C9" s="147"/>
      <c r="D9" s="147"/>
      <c r="E9" s="148">
        <f>Hospedagem!L57</f>
        <v>0</v>
      </c>
      <c r="F9" s="148"/>
      <c r="G9" s="148"/>
      <c r="H9" s="148"/>
    </row>
    <row r="10" spans="2:8" x14ac:dyDescent="0.25">
      <c r="B10" s="147" t="s">
        <v>75</v>
      </c>
      <c r="C10" s="147"/>
      <c r="D10" s="147"/>
      <c r="E10" s="148">
        <f>'Sala de Reuniões'!G24</f>
        <v>0</v>
      </c>
      <c r="F10" s="148" t="s">
        <v>8</v>
      </c>
      <c r="G10" s="148"/>
      <c r="H10" s="148"/>
    </row>
    <row r="11" spans="2:8" x14ac:dyDescent="0.25">
      <c r="B11" s="147" t="s">
        <v>20</v>
      </c>
      <c r="C11" s="147"/>
      <c r="D11" s="147"/>
      <c r="E11" s="148">
        <f>Diárias!K60</f>
        <v>0</v>
      </c>
      <c r="F11" s="148"/>
      <c r="G11" s="148"/>
      <c r="H11" s="148"/>
    </row>
    <row r="12" spans="2:8" x14ac:dyDescent="0.25">
      <c r="B12" s="147" t="s">
        <v>76</v>
      </c>
      <c r="C12" s="147"/>
      <c r="D12" s="147"/>
      <c r="E12" s="148">
        <f>Translado!D58</f>
        <v>0</v>
      </c>
      <c r="F12" s="148"/>
      <c r="G12" s="148"/>
      <c r="H12" s="148"/>
    </row>
    <row r="13" spans="2:8" x14ac:dyDescent="0.25">
      <c r="B13" s="147" t="s">
        <v>77</v>
      </c>
      <c r="C13" s="147"/>
      <c r="D13" s="147"/>
      <c r="E13" s="148"/>
      <c r="F13" s="148"/>
      <c r="G13" s="148"/>
      <c r="H13" s="148"/>
    </row>
    <row r="14" spans="2:8" x14ac:dyDescent="0.25">
      <c r="B14" s="147"/>
      <c r="C14" s="147"/>
      <c r="D14" s="147"/>
      <c r="E14" s="148"/>
      <c r="F14" s="148"/>
      <c r="G14" s="148"/>
      <c r="H14" s="148"/>
    </row>
    <row r="15" spans="2:8" x14ac:dyDescent="0.25">
      <c r="B15" s="147"/>
      <c r="C15" s="147"/>
      <c r="D15" s="147"/>
      <c r="E15" s="148"/>
      <c r="F15" s="148"/>
      <c r="G15" s="148"/>
      <c r="H15" s="148"/>
    </row>
    <row r="16" spans="2:8" x14ac:dyDescent="0.25">
      <c r="B16" s="147"/>
      <c r="C16" s="147"/>
      <c r="D16" s="147"/>
      <c r="E16" s="148"/>
      <c r="F16" s="148"/>
      <c r="G16" s="148"/>
      <c r="H16" s="148"/>
    </row>
    <row r="17" spans="2:8" x14ac:dyDescent="0.25">
      <c r="B17" s="147"/>
      <c r="C17" s="147"/>
      <c r="D17" s="147"/>
      <c r="E17" s="148"/>
      <c r="F17" s="148"/>
      <c r="G17" s="148"/>
      <c r="H17" s="148"/>
    </row>
    <row r="18" spans="2:8" x14ac:dyDescent="0.25">
      <c r="B18" s="147"/>
      <c r="C18" s="147"/>
      <c r="D18" s="147"/>
      <c r="E18" s="148"/>
      <c r="F18" s="148"/>
      <c r="G18" s="148"/>
      <c r="H18" s="148"/>
    </row>
    <row r="19" spans="2:8" x14ac:dyDescent="0.25">
      <c r="B19" s="147"/>
      <c r="C19" s="147"/>
      <c r="D19" s="147"/>
      <c r="E19" s="148"/>
      <c r="F19" s="148"/>
      <c r="G19" s="148"/>
      <c r="H19" s="148"/>
    </row>
    <row r="20" spans="2:8" x14ac:dyDescent="0.25">
      <c r="B20" s="147"/>
      <c r="C20" s="147"/>
      <c r="D20" s="147"/>
      <c r="E20" s="148"/>
      <c r="F20" s="148"/>
      <c r="G20" s="148"/>
      <c r="H20" s="148"/>
    </row>
    <row r="21" spans="2:8" x14ac:dyDescent="0.25">
      <c r="B21" s="150" t="s">
        <v>63</v>
      </c>
      <c r="C21" s="150"/>
      <c r="D21" s="150"/>
      <c r="E21" s="151">
        <f>SUM(E8:H20)</f>
        <v>0</v>
      </c>
      <c r="F21" s="151"/>
      <c r="G21" s="151"/>
      <c r="H21" s="151"/>
    </row>
    <row r="22" spans="2:8" x14ac:dyDescent="0.25">
      <c r="B22" s="149"/>
      <c r="C22" s="149"/>
      <c r="D22" s="149"/>
    </row>
    <row r="23" spans="2:8" x14ac:dyDescent="0.25">
      <c r="B23" s="149"/>
      <c r="C23" s="149"/>
      <c r="D23" s="149"/>
    </row>
    <row r="24" spans="2:8" x14ac:dyDescent="0.25">
      <c r="B24" s="149"/>
      <c r="C24" s="149"/>
      <c r="D24" s="149"/>
    </row>
    <row r="25" spans="2:8" x14ac:dyDescent="0.25">
      <c r="B25" s="149"/>
      <c r="C25" s="149"/>
      <c r="D25" s="149"/>
    </row>
    <row r="26" spans="2:8" x14ac:dyDescent="0.25">
      <c r="B26" s="149"/>
      <c r="C26" s="149"/>
      <c r="D26" s="149"/>
    </row>
    <row r="27" spans="2:8" x14ac:dyDescent="0.25">
      <c r="B27" s="149"/>
      <c r="C27" s="149"/>
      <c r="D27" s="149"/>
    </row>
  </sheetData>
  <mergeCells count="40">
    <mergeCell ref="C1:G1"/>
    <mergeCell ref="C2:G2"/>
    <mergeCell ref="C3:G3"/>
    <mergeCell ref="B27:D27"/>
    <mergeCell ref="E9:H9"/>
    <mergeCell ref="E10:H10"/>
    <mergeCell ref="E11:H11"/>
    <mergeCell ref="E12:H12"/>
    <mergeCell ref="E13:H13"/>
    <mergeCell ref="E14:H14"/>
    <mergeCell ref="E15:H15"/>
    <mergeCell ref="E16:H16"/>
    <mergeCell ref="E17:H17"/>
    <mergeCell ref="E18:H18"/>
    <mergeCell ref="E19:H19"/>
    <mergeCell ref="E20:H20"/>
    <mergeCell ref="E21:H21"/>
    <mergeCell ref="B22:D22"/>
    <mergeCell ref="B23:D23"/>
    <mergeCell ref="B24:D24"/>
    <mergeCell ref="B25:D25"/>
    <mergeCell ref="B14:D14"/>
    <mergeCell ref="B15:D15"/>
    <mergeCell ref="B16:D16"/>
    <mergeCell ref="B26:D26"/>
    <mergeCell ref="B17:D17"/>
    <mergeCell ref="B18:D18"/>
    <mergeCell ref="B19:D19"/>
    <mergeCell ref="B20:D20"/>
    <mergeCell ref="B21:D21"/>
    <mergeCell ref="B9:D9"/>
    <mergeCell ref="B10:D10"/>
    <mergeCell ref="B11:D11"/>
    <mergeCell ref="B12:D12"/>
    <mergeCell ref="B13:D13"/>
    <mergeCell ref="B6:H6"/>
    <mergeCell ref="B7:D7"/>
    <mergeCell ref="E7:H7"/>
    <mergeCell ref="B8:D8"/>
    <mergeCell ref="E8:H8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Dados Gerais</vt:lpstr>
      <vt:lpstr>Passagens</vt:lpstr>
      <vt:lpstr>Hospedagem</vt:lpstr>
      <vt:lpstr>Sala de Reuniões</vt:lpstr>
      <vt:lpstr>Diárias</vt:lpstr>
      <vt:lpstr>Translado</vt:lpstr>
      <vt:lpstr>Custo Total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Annelise Abreu Coutinho</dc:creator>
  <cp:lastModifiedBy>Igor Henrique Andreis</cp:lastModifiedBy>
  <cp:lastPrinted>2023-11-29T14:18:32Z</cp:lastPrinted>
  <dcterms:created xsi:type="dcterms:W3CDTF">2018-02-16T18:35:23Z</dcterms:created>
  <dcterms:modified xsi:type="dcterms:W3CDTF">2025-11-26T03:37:20Z</dcterms:modified>
</cp:coreProperties>
</file>